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sheil\Documents\University4B\MSCI446\"/>
    </mc:Choice>
  </mc:AlternateContent>
  <xr:revisionPtr revIDLastSave="0" documentId="13_ncr:1_{0B7B0D77-46FB-45A1-A984-175DEC7551D3}" xr6:coauthVersionLast="47" xr6:coauthVersionMax="47" xr10:uidLastSave="{00000000-0000-0000-0000-000000000000}"/>
  <bookViews>
    <workbookView xWindow="-120" yWindow="-120" windowWidth="29040" windowHeight="15720" xr2:uid="{00000000-000D-0000-FFFF-FFFF00000000}"/>
  </bookViews>
  <sheets>
    <sheet name="emdat data" sheetId="1" r:id="rId1"/>
    <sheet name="Sheet1" sheetId="2" r:id="rId2"/>
  </sheets>
  <definedNames>
    <definedName name="Z_209855CD_129C_4B83_978F_C49C3C2EEE53_.wvu.FilterData" localSheetId="0" hidden="1">'emdat data'!$A$1:$BC$661</definedName>
  </definedNames>
  <calcPr calcId="191029"/>
  <customWorkbookViews>
    <customWorkbookView name="Filter 1" guid="{209855CD-129C-4B83-978F-C49C3C2EEE5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UaYN8yaGfEVb0i2QJ6EtHC6yBgg=="/>
    </ext>
  </extLst>
</workbook>
</file>

<file path=xl/calcChain.xml><?xml version="1.0" encoding="utf-8"?>
<calcChain xmlns="http://schemas.openxmlformats.org/spreadsheetml/2006/main">
  <c r="H661" i="1" l="1"/>
  <c r="F661" i="1"/>
  <c r="H660" i="1"/>
  <c r="F660" i="1"/>
  <c r="H659" i="1"/>
  <c r="F659" i="1"/>
  <c r="H658" i="1"/>
  <c r="F658" i="1"/>
  <c r="H657" i="1"/>
  <c r="F657" i="1"/>
  <c r="H656" i="1"/>
  <c r="F656" i="1"/>
  <c r="H655" i="1"/>
  <c r="F655" i="1"/>
  <c r="H654" i="1"/>
  <c r="F654" i="1"/>
  <c r="H653" i="1"/>
  <c r="F653" i="1"/>
  <c r="H652" i="1"/>
  <c r="F652" i="1"/>
  <c r="H651" i="1"/>
  <c r="F651" i="1"/>
  <c r="H650" i="1"/>
  <c r="F650" i="1"/>
  <c r="H649" i="1"/>
  <c r="F649" i="1"/>
  <c r="H648" i="1"/>
  <c r="F648" i="1"/>
  <c r="H647" i="1"/>
  <c r="F647" i="1"/>
  <c r="H646" i="1"/>
  <c r="F646" i="1"/>
  <c r="H645" i="1"/>
  <c r="F645" i="1"/>
  <c r="H644" i="1"/>
  <c r="F644" i="1"/>
  <c r="H643" i="1"/>
  <c r="F643" i="1"/>
  <c r="H642" i="1"/>
  <c r="F642" i="1"/>
  <c r="H641" i="1"/>
  <c r="F641" i="1"/>
  <c r="H640" i="1"/>
  <c r="F640" i="1"/>
  <c r="H639" i="1"/>
  <c r="F639" i="1"/>
  <c r="H638" i="1"/>
  <c r="F638" i="1"/>
  <c r="H637" i="1"/>
  <c r="F637" i="1"/>
  <c r="H636" i="1"/>
  <c r="F636" i="1"/>
  <c r="H635" i="1"/>
  <c r="F635" i="1"/>
  <c r="H634" i="1"/>
  <c r="F634" i="1"/>
  <c r="H633" i="1"/>
  <c r="F633" i="1"/>
  <c r="H632" i="1"/>
  <c r="F632" i="1"/>
  <c r="H631" i="1"/>
  <c r="F631" i="1"/>
  <c r="H630" i="1"/>
  <c r="F630" i="1"/>
  <c r="H629" i="1"/>
  <c r="F629" i="1"/>
  <c r="H628" i="1"/>
  <c r="F628" i="1"/>
  <c r="H627" i="1"/>
  <c r="F627" i="1"/>
  <c r="H626" i="1"/>
  <c r="F626" i="1"/>
  <c r="H625" i="1"/>
  <c r="F625" i="1"/>
  <c r="H624" i="1"/>
  <c r="F624" i="1"/>
  <c r="H623" i="1"/>
  <c r="F623" i="1"/>
  <c r="H622" i="1"/>
  <c r="F622" i="1"/>
  <c r="H621" i="1"/>
  <c r="F621" i="1"/>
  <c r="H620" i="1"/>
  <c r="F620" i="1"/>
  <c r="H619" i="1"/>
  <c r="F619" i="1"/>
  <c r="H618" i="1"/>
  <c r="F618" i="1"/>
  <c r="H617" i="1"/>
  <c r="F617" i="1"/>
  <c r="H616" i="1"/>
  <c r="F616" i="1"/>
  <c r="H615" i="1"/>
  <c r="F615" i="1"/>
  <c r="H614" i="1"/>
  <c r="F614" i="1"/>
  <c r="H613" i="1"/>
  <c r="F613" i="1"/>
  <c r="H612" i="1"/>
  <c r="F612" i="1"/>
  <c r="H611" i="1"/>
  <c r="F611" i="1"/>
  <c r="H610" i="1"/>
  <c r="F610" i="1"/>
  <c r="H609" i="1"/>
  <c r="F609" i="1"/>
  <c r="H608" i="1"/>
  <c r="F608" i="1"/>
  <c r="H607" i="1"/>
  <c r="F607" i="1"/>
  <c r="H606" i="1"/>
  <c r="F606" i="1"/>
  <c r="H605" i="1"/>
  <c r="F605" i="1"/>
  <c r="H604" i="1"/>
  <c r="F604" i="1"/>
  <c r="H603" i="1"/>
  <c r="F603" i="1"/>
  <c r="H602" i="1"/>
  <c r="F602" i="1"/>
  <c r="H601" i="1"/>
  <c r="F601" i="1"/>
  <c r="H600" i="1"/>
  <c r="F600" i="1"/>
  <c r="H599" i="1"/>
  <c r="F599" i="1"/>
  <c r="H598" i="1"/>
  <c r="F598" i="1"/>
  <c r="H597" i="1"/>
  <c r="F597" i="1"/>
  <c r="H596" i="1"/>
  <c r="F596" i="1"/>
  <c r="H595" i="1"/>
  <c r="F595" i="1"/>
  <c r="H594" i="1"/>
  <c r="F594" i="1"/>
  <c r="H593" i="1"/>
  <c r="F593" i="1"/>
  <c r="H592" i="1"/>
  <c r="F592" i="1"/>
  <c r="H591" i="1"/>
  <c r="F591" i="1"/>
  <c r="H590" i="1"/>
  <c r="F590" i="1"/>
  <c r="H589" i="1"/>
  <c r="F589" i="1"/>
  <c r="H588" i="1"/>
  <c r="F588" i="1"/>
  <c r="H587" i="1"/>
  <c r="F587" i="1"/>
  <c r="H586" i="1"/>
  <c r="F586" i="1"/>
  <c r="H585" i="1"/>
  <c r="F585" i="1"/>
  <c r="H584" i="1"/>
  <c r="F584" i="1"/>
  <c r="H583" i="1"/>
  <c r="F583" i="1"/>
  <c r="H582" i="1"/>
  <c r="F582" i="1"/>
  <c r="H581" i="1"/>
  <c r="F581" i="1"/>
  <c r="H580" i="1"/>
  <c r="F580" i="1"/>
  <c r="H579" i="1"/>
  <c r="F579" i="1"/>
  <c r="H578" i="1"/>
  <c r="F578" i="1"/>
  <c r="H577" i="1"/>
  <c r="F577" i="1"/>
  <c r="H576" i="1"/>
  <c r="F576" i="1"/>
  <c r="H575" i="1"/>
  <c r="F575" i="1"/>
  <c r="H574" i="1"/>
  <c r="F574" i="1"/>
  <c r="H573" i="1"/>
  <c r="F573" i="1"/>
  <c r="H572" i="1"/>
  <c r="F572" i="1"/>
  <c r="H571" i="1"/>
  <c r="F571" i="1"/>
  <c r="H570" i="1"/>
  <c r="F570" i="1"/>
  <c r="H569" i="1"/>
  <c r="F569" i="1"/>
  <c r="H568" i="1"/>
  <c r="F568" i="1"/>
  <c r="H567" i="1"/>
  <c r="F567" i="1"/>
  <c r="H566" i="1"/>
  <c r="F566" i="1"/>
  <c r="H565" i="1"/>
  <c r="F565" i="1"/>
  <c r="H564" i="1"/>
  <c r="F564" i="1"/>
  <c r="H563" i="1"/>
  <c r="F563" i="1"/>
  <c r="H562" i="1"/>
  <c r="F562" i="1"/>
  <c r="H561" i="1"/>
  <c r="F561" i="1"/>
  <c r="H560" i="1"/>
  <c r="F560" i="1"/>
  <c r="H559" i="1"/>
  <c r="F559" i="1"/>
  <c r="H558" i="1"/>
  <c r="F558" i="1"/>
  <c r="H557" i="1"/>
  <c r="F557" i="1"/>
  <c r="H556" i="1"/>
  <c r="F556" i="1"/>
  <c r="H555" i="1"/>
  <c r="F555" i="1"/>
  <c r="H554" i="1"/>
  <c r="F554" i="1"/>
  <c r="H553" i="1"/>
  <c r="F553" i="1"/>
  <c r="H552" i="1"/>
  <c r="F552" i="1"/>
  <c r="H551" i="1"/>
  <c r="F551" i="1"/>
  <c r="H550" i="1"/>
  <c r="F550" i="1"/>
  <c r="H549" i="1"/>
  <c r="F549" i="1"/>
  <c r="H548" i="1"/>
  <c r="F548" i="1"/>
  <c r="H547" i="1"/>
  <c r="F547" i="1"/>
  <c r="H546" i="1"/>
  <c r="F546" i="1"/>
  <c r="H545" i="1"/>
  <c r="F545" i="1"/>
  <c r="H544" i="1"/>
  <c r="F544" i="1"/>
  <c r="H543" i="1"/>
  <c r="F543" i="1"/>
  <c r="H542" i="1"/>
  <c r="F542" i="1"/>
  <c r="H541" i="1"/>
  <c r="F541" i="1"/>
  <c r="H540" i="1"/>
  <c r="F540" i="1"/>
  <c r="H539" i="1"/>
  <c r="F539" i="1"/>
  <c r="H538" i="1"/>
  <c r="F538" i="1"/>
  <c r="H537" i="1"/>
  <c r="F537" i="1"/>
  <c r="H536" i="1"/>
  <c r="F536" i="1"/>
  <c r="H535" i="1"/>
  <c r="F535" i="1"/>
  <c r="H534" i="1"/>
  <c r="F534" i="1"/>
  <c r="H533" i="1"/>
  <c r="F533" i="1"/>
  <c r="H532" i="1"/>
  <c r="F532" i="1"/>
  <c r="H531" i="1"/>
  <c r="F531" i="1"/>
  <c r="H530" i="1"/>
  <c r="F530" i="1"/>
  <c r="H529" i="1"/>
  <c r="F529" i="1"/>
  <c r="H528" i="1"/>
  <c r="F528" i="1"/>
  <c r="H527" i="1"/>
  <c r="F527" i="1"/>
  <c r="H526" i="1"/>
  <c r="F526" i="1"/>
  <c r="H525" i="1"/>
  <c r="F525" i="1"/>
  <c r="H524" i="1"/>
  <c r="F524" i="1"/>
  <c r="H523" i="1"/>
  <c r="F523" i="1"/>
  <c r="H522" i="1"/>
  <c r="F522" i="1"/>
  <c r="H521" i="1"/>
  <c r="F521" i="1"/>
  <c r="H520" i="1"/>
  <c r="F520" i="1"/>
  <c r="H519" i="1"/>
  <c r="F519" i="1"/>
  <c r="H518" i="1"/>
  <c r="F518" i="1"/>
  <c r="H517" i="1"/>
  <c r="F517" i="1"/>
  <c r="H516" i="1"/>
  <c r="F516" i="1"/>
  <c r="H515" i="1"/>
  <c r="F515" i="1"/>
  <c r="H514" i="1"/>
  <c r="F514" i="1"/>
  <c r="H513" i="1"/>
  <c r="F513" i="1"/>
  <c r="H512" i="1"/>
  <c r="F512" i="1"/>
  <c r="H511" i="1"/>
  <c r="F511" i="1"/>
  <c r="H510" i="1"/>
  <c r="F510" i="1"/>
  <c r="H509" i="1"/>
  <c r="F509" i="1"/>
  <c r="H508" i="1"/>
  <c r="F508" i="1"/>
  <c r="H507" i="1"/>
  <c r="F507" i="1"/>
  <c r="H506" i="1"/>
  <c r="F506" i="1"/>
  <c r="H505" i="1"/>
  <c r="F505" i="1"/>
  <c r="H504" i="1"/>
  <c r="F504" i="1"/>
  <c r="H503" i="1"/>
  <c r="F503" i="1"/>
  <c r="H502" i="1"/>
  <c r="F502" i="1"/>
  <c r="H501" i="1"/>
  <c r="F501" i="1"/>
  <c r="H500" i="1"/>
  <c r="F500" i="1"/>
  <c r="H499" i="1"/>
  <c r="F499" i="1"/>
  <c r="H498" i="1"/>
  <c r="F498" i="1"/>
  <c r="H497" i="1"/>
  <c r="F497" i="1"/>
  <c r="H496" i="1"/>
  <c r="F496" i="1"/>
  <c r="H495" i="1"/>
  <c r="F495" i="1"/>
  <c r="H494" i="1"/>
  <c r="F494" i="1"/>
  <c r="H493" i="1"/>
  <c r="F493" i="1"/>
  <c r="H492" i="1"/>
  <c r="F492" i="1"/>
  <c r="H491" i="1"/>
  <c r="F491" i="1"/>
  <c r="H490" i="1"/>
  <c r="F490" i="1"/>
  <c r="H489" i="1"/>
  <c r="F489" i="1"/>
  <c r="H488" i="1"/>
  <c r="F488" i="1"/>
  <c r="H487" i="1"/>
  <c r="F487" i="1"/>
  <c r="H486" i="1"/>
  <c r="F486" i="1"/>
  <c r="H485" i="1"/>
  <c r="F485" i="1"/>
  <c r="H484" i="1"/>
  <c r="F484" i="1"/>
  <c r="H483" i="1"/>
  <c r="F483" i="1"/>
  <c r="H482" i="1"/>
  <c r="F482" i="1"/>
  <c r="H481" i="1"/>
  <c r="F481" i="1"/>
  <c r="H480" i="1"/>
  <c r="F480" i="1"/>
  <c r="H479" i="1"/>
  <c r="F479" i="1"/>
  <c r="H478" i="1"/>
  <c r="F478" i="1"/>
  <c r="H477" i="1"/>
  <c r="F477" i="1"/>
  <c r="H476" i="1"/>
  <c r="F476" i="1"/>
  <c r="H475" i="1"/>
  <c r="F475" i="1"/>
  <c r="H474" i="1"/>
  <c r="F474" i="1"/>
  <c r="H473" i="1"/>
  <c r="F473" i="1"/>
  <c r="H472" i="1"/>
  <c r="F472" i="1"/>
  <c r="H471" i="1"/>
  <c r="F471" i="1"/>
  <c r="H470" i="1"/>
  <c r="F470" i="1"/>
  <c r="H469" i="1"/>
  <c r="F469" i="1"/>
  <c r="H468" i="1"/>
  <c r="F468" i="1"/>
  <c r="H467" i="1"/>
  <c r="F467" i="1"/>
  <c r="H466" i="1"/>
  <c r="F466" i="1"/>
  <c r="H465" i="1"/>
  <c r="F465" i="1"/>
  <c r="H464" i="1"/>
  <c r="F464" i="1"/>
  <c r="H463" i="1"/>
  <c r="F463" i="1"/>
  <c r="H462" i="1"/>
  <c r="F462" i="1"/>
  <c r="H461" i="1"/>
  <c r="F461" i="1"/>
  <c r="H460" i="1"/>
  <c r="F460" i="1"/>
  <c r="H459" i="1"/>
  <c r="F459" i="1"/>
  <c r="H458" i="1"/>
  <c r="F458" i="1"/>
  <c r="H457" i="1"/>
  <c r="F457" i="1"/>
  <c r="H456" i="1"/>
  <c r="F456" i="1"/>
  <c r="H455" i="1"/>
  <c r="F455" i="1"/>
  <c r="H454" i="1"/>
  <c r="F454" i="1"/>
  <c r="H453" i="1"/>
  <c r="F453" i="1"/>
  <c r="H452" i="1"/>
  <c r="F452" i="1"/>
  <c r="H451" i="1"/>
  <c r="F451" i="1"/>
  <c r="H450" i="1"/>
  <c r="F450" i="1"/>
  <c r="H449" i="1"/>
  <c r="F449" i="1"/>
  <c r="H448" i="1"/>
  <c r="F448" i="1"/>
  <c r="H447" i="1"/>
  <c r="F447" i="1"/>
  <c r="H446" i="1"/>
  <c r="F446" i="1"/>
  <c r="H445" i="1"/>
  <c r="F445" i="1"/>
  <c r="H444" i="1"/>
  <c r="F444" i="1"/>
  <c r="H443" i="1"/>
  <c r="F443" i="1"/>
  <c r="H442" i="1"/>
  <c r="F442" i="1"/>
  <c r="H441" i="1"/>
  <c r="F441" i="1"/>
  <c r="H440" i="1"/>
  <c r="F440" i="1"/>
  <c r="H439" i="1"/>
  <c r="F439" i="1"/>
  <c r="H438" i="1"/>
  <c r="F438" i="1"/>
  <c r="H437" i="1"/>
  <c r="F437" i="1"/>
  <c r="H436" i="1"/>
  <c r="F436" i="1"/>
  <c r="H435" i="1"/>
  <c r="F435" i="1"/>
  <c r="H434" i="1"/>
  <c r="F434" i="1"/>
  <c r="H433" i="1"/>
  <c r="F433" i="1"/>
  <c r="H432" i="1"/>
  <c r="F432" i="1"/>
  <c r="H431" i="1"/>
  <c r="F431" i="1"/>
  <c r="H430" i="1"/>
  <c r="F430" i="1"/>
  <c r="H429" i="1"/>
  <c r="F429" i="1"/>
  <c r="H428" i="1"/>
  <c r="F428" i="1"/>
  <c r="H427" i="1"/>
  <c r="F427" i="1"/>
  <c r="H426" i="1"/>
  <c r="F426" i="1"/>
  <c r="H425" i="1"/>
  <c r="F425" i="1"/>
  <c r="H424" i="1"/>
  <c r="F424" i="1"/>
  <c r="H423" i="1"/>
  <c r="F423" i="1"/>
  <c r="H422" i="1"/>
  <c r="F422" i="1"/>
  <c r="H421" i="1"/>
  <c r="F421" i="1"/>
  <c r="H420" i="1"/>
  <c r="F420" i="1"/>
  <c r="H419" i="1"/>
  <c r="F419" i="1"/>
  <c r="H418" i="1"/>
  <c r="F418" i="1"/>
  <c r="H417" i="1"/>
  <c r="F417" i="1"/>
  <c r="H416" i="1"/>
  <c r="F416" i="1"/>
  <c r="H415" i="1"/>
  <c r="F415" i="1"/>
  <c r="H414" i="1"/>
  <c r="F414" i="1"/>
  <c r="H413" i="1"/>
  <c r="F413" i="1"/>
  <c r="H412" i="1"/>
  <c r="F412" i="1"/>
  <c r="H411" i="1"/>
  <c r="F411" i="1"/>
  <c r="H410" i="1"/>
  <c r="F410" i="1"/>
  <c r="H409" i="1"/>
  <c r="F409" i="1"/>
  <c r="H408" i="1"/>
  <c r="F408" i="1"/>
  <c r="H407" i="1"/>
  <c r="F407" i="1"/>
  <c r="H406" i="1"/>
  <c r="F406" i="1"/>
  <c r="H405" i="1"/>
  <c r="F405" i="1"/>
  <c r="H404" i="1"/>
  <c r="F404" i="1"/>
  <c r="H403" i="1"/>
  <c r="F403" i="1"/>
  <c r="H402" i="1"/>
  <c r="F402" i="1"/>
  <c r="H401" i="1"/>
  <c r="F401" i="1"/>
  <c r="H400" i="1"/>
  <c r="F400" i="1"/>
  <c r="H399" i="1"/>
  <c r="F399" i="1"/>
  <c r="H398" i="1"/>
  <c r="F398" i="1"/>
  <c r="H397" i="1"/>
  <c r="F397" i="1"/>
  <c r="H396" i="1"/>
  <c r="F396" i="1"/>
  <c r="H395" i="1"/>
  <c r="F395" i="1"/>
  <c r="H394" i="1"/>
  <c r="F394" i="1"/>
  <c r="H393" i="1"/>
  <c r="F393" i="1"/>
  <c r="H392" i="1"/>
  <c r="F392" i="1"/>
  <c r="H391" i="1"/>
  <c r="F391" i="1"/>
  <c r="H390" i="1"/>
  <c r="F390" i="1"/>
  <c r="H389" i="1"/>
  <c r="F389" i="1"/>
  <c r="H388" i="1"/>
  <c r="F388" i="1"/>
  <c r="H387" i="1"/>
  <c r="F387" i="1"/>
  <c r="H386" i="1"/>
  <c r="F386" i="1"/>
  <c r="H385" i="1"/>
  <c r="F385" i="1"/>
  <c r="H384" i="1"/>
  <c r="F384" i="1"/>
  <c r="H383" i="1"/>
  <c r="F383" i="1"/>
  <c r="H382" i="1"/>
  <c r="F382" i="1"/>
  <c r="H381" i="1"/>
  <c r="F381" i="1"/>
  <c r="H380" i="1"/>
  <c r="F380" i="1"/>
  <c r="H379" i="1"/>
  <c r="F379" i="1"/>
  <c r="H378" i="1"/>
  <c r="F378" i="1"/>
  <c r="H377" i="1"/>
  <c r="F377" i="1"/>
  <c r="H376" i="1"/>
  <c r="F376" i="1"/>
  <c r="H375" i="1"/>
  <c r="F375" i="1"/>
  <c r="H374" i="1"/>
  <c r="F374" i="1"/>
  <c r="H373" i="1"/>
  <c r="F373" i="1"/>
  <c r="H372" i="1"/>
  <c r="F372" i="1"/>
  <c r="H371" i="1"/>
  <c r="F371" i="1"/>
  <c r="H370" i="1"/>
  <c r="F370" i="1"/>
  <c r="H369" i="1"/>
  <c r="F369" i="1"/>
  <c r="H368" i="1"/>
  <c r="F368" i="1"/>
  <c r="H367" i="1"/>
  <c r="F367" i="1"/>
  <c r="H366" i="1"/>
  <c r="F366" i="1"/>
  <c r="H365" i="1"/>
  <c r="F365" i="1"/>
  <c r="H364" i="1"/>
  <c r="F364" i="1"/>
  <c r="H363" i="1"/>
  <c r="F363" i="1"/>
  <c r="H362" i="1"/>
  <c r="F362" i="1"/>
  <c r="H361" i="1"/>
  <c r="F361" i="1"/>
  <c r="H360" i="1"/>
  <c r="F360" i="1"/>
  <c r="H359" i="1"/>
  <c r="F359" i="1"/>
  <c r="H358" i="1"/>
  <c r="F358" i="1"/>
  <c r="H357" i="1"/>
  <c r="F357" i="1"/>
  <c r="H356" i="1"/>
  <c r="F356" i="1"/>
  <c r="H355" i="1"/>
  <c r="F355" i="1"/>
  <c r="H354" i="1"/>
  <c r="F354" i="1"/>
  <c r="H353" i="1"/>
  <c r="F353" i="1"/>
  <c r="H352" i="1"/>
  <c r="F352" i="1"/>
  <c r="H351" i="1"/>
  <c r="F351" i="1"/>
  <c r="H350" i="1"/>
  <c r="F350" i="1"/>
  <c r="H349" i="1"/>
  <c r="F349" i="1"/>
  <c r="H348" i="1"/>
  <c r="F348" i="1"/>
  <c r="H347" i="1"/>
  <c r="F347" i="1"/>
  <c r="H346" i="1"/>
  <c r="F346" i="1"/>
  <c r="H345" i="1"/>
  <c r="F345" i="1"/>
  <c r="H344" i="1"/>
  <c r="F344" i="1"/>
  <c r="H343" i="1"/>
  <c r="F343" i="1"/>
  <c r="H342" i="1"/>
  <c r="F342" i="1"/>
  <c r="H341" i="1"/>
  <c r="F341" i="1"/>
  <c r="H340" i="1"/>
  <c r="F340" i="1"/>
  <c r="H339" i="1"/>
  <c r="F339" i="1"/>
  <c r="H338" i="1"/>
  <c r="F338" i="1"/>
  <c r="H337" i="1"/>
  <c r="F337" i="1"/>
  <c r="H336" i="1"/>
  <c r="F336" i="1"/>
  <c r="H335" i="1"/>
  <c r="F335" i="1"/>
  <c r="H334" i="1"/>
  <c r="F334" i="1"/>
  <c r="H333" i="1"/>
  <c r="F333" i="1"/>
  <c r="H332" i="1"/>
  <c r="F332" i="1"/>
  <c r="H331" i="1"/>
  <c r="F331" i="1"/>
  <c r="H330" i="1"/>
  <c r="F330" i="1"/>
  <c r="H329" i="1"/>
  <c r="F329" i="1"/>
  <c r="H328" i="1"/>
  <c r="F328" i="1"/>
  <c r="H327" i="1"/>
  <c r="F327" i="1"/>
  <c r="H326" i="1"/>
  <c r="F326" i="1"/>
  <c r="H325" i="1"/>
  <c r="F325" i="1"/>
  <c r="H324" i="1"/>
  <c r="F324" i="1"/>
  <c r="H323" i="1"/>
  <c r="F323" i="1"/>
  <c r="H322" i="1"/>
  <c r="F322" i="1"/>
  <c r="H321" i="1"/>
  <c r="F321" i="1"/>
  <c r="H320" i="1"/>
  <c r="F320" i="1"/>
  <c r="H319" i="1"/>
  <c r="F319" i="1"/>
  <c r="H318" i="1"/>
  <c r="F318" i="1"/>
  <c r="H317" i="1"/>
  <c r="F317" i="1"/>
  <c r="H316" i="1"/>
  <c r="F316" i="1"/>
  <c r="H315" i="1"/>
  <c r="F315" i="1"/>
  <c r="H314" i="1"/>
  <c r="F314" i="1"/>
  <c r="H313" i="1"/>
  <c r="F313" i="1"/>
  <c r="H312" i="1"/>
  <c r="F312" i="1"/>
  <c r="H311" i="1"/>
  <c r="F311" i="1"/>
  <c r="H310" i="1"/>
  <c r="F310" i="1"/>
  <c r="H309" i="1"/>
  <c r="F309" i="1"/>
  <c r="H308" i="1"/>
  <c r="F308" i="1"/>
  <c r="H307" i="1"/>
  <c r="F307" i="1"/>
  <c r="H306" i="1"/>
  <c r="F306" i="1"/>
  <c r="H305" i="1"/>
  <c r="F305" i="1"/>
  <c r="H304" i="1"/>
  <c r="F304" i="1"/>
  <c r="H303" i="1"/>
  <c r="F303" i="1"/>
  <c r="H302" i="1"/>
  <c r="F302" i="1"/>
  <c r="H301" i="1"/>
  <c r="F301" i="1"/>
  <c r="H300" i="1"/>
  <c r="F300" i="1"/>
  <c r="H299" i="1"/>
  <c r="F299" i="1"/>
  <c r="H298" i="1"/>
  <c r="F298" i="1"/>
  <c r="H297" i="1"/>
  <c r="F297" i="1"/>
  <c r="H296" i="1"/>
  <c r="F296" i="1"/>
  <c r="H295" i="1"/>
  <c r="F295" i="1"/>
  <c r="H294" i="1"/>
  <c r="F294" i="1"/>
  <c r="H293" i="1"/>
  <c r="F293" i="1"/>
  <c r="H292" i="1"/>
  <c r="F292" i="1"/>
  <c r="H291" i="1"/>
  <c r="F291" i="1"/>
  <c r="H290" i="1"/>
  <c r="F290" i="1"/>
  <c r="H289" i="1"/>
  <c r="F289" i="1"/>
  <c r="H288" i="1"/>
  <c r="F288" i="1"/>
  <c r="H287" i="1"/>
  <c r="F287" i="1"/>
  <c r="H286" i="1"/>
  <c r="F286" i="1"/>
  <c r="H285" i="1"/>
  <c r="F285" i="1"/>
  <c r="H284" i="1"/>
  <c r="F284" i="1"/>
  <c r="H283" i="1"/>
  <c r="F283" i="1"/>
  <c r="H282" i="1"/>
  <c r="F282" i="1"/>
  <c r="H281" i="1"/>
  <c r="F281" i="1"/>
  <c r="H280" i="1"/>
  <c r="F280" i="1"/>
  <c r="H279" i="1"/>
  <c r="F279" i="1"/>
  <c r="H278" i="1"/>
  <c r="F278" i="1"/>
  <c r="H277" i="1"/>
  <c r="F277" i="1"/>
  <c r="H276" i="1"/>
  <c r="F276" i="1"/>
  <c r="H275" i="1"/>
  <c r="F275" i="1"/>
  <c r="H274" i="1"/>
  <c r="F274" i="1"/>
  <c r="H273" i="1"/>
  <c r="F273" i="1"/>
  <c r="H272" i="1"/>
  <c r="F272" i="1"/>
  <c r="H271" i="1"/>
  <c r="F271" i="1"/>
  <c r="H270" i="1"/>
  <c r="F270" i="1"/>
  <c r="H269" i="1"/>
  <c r="F269" i="1"/>
  <c r="H268" i="1"/>
  <c r="F268" i="1"/>
  <c r="H267" i="1"/>
  <c r="F267" i="1"/>
  <c r="H266" i="1"/>
  <c r="F266" i="1"/>
  <c r="H265" i="1"/>
  <c r="F265" i="1"/>
  <c r="H264" i="1"/>
  <c r="F264" i="1"/>
  <c r="H263" i="1"/>
  <c r="F263" i="1"/>
  <c r="H262" i="1"/>
  <c r="F262" i="1"/>
  <c r="H261" i="1"/>
  <c r="F261" i="1"/>
  <c r="H260" i="1"/>
  <c r="F260" i="1"/>
  <c r="H259" i="1"/>
  <c r="F259" i="1"/>
  <c r="H258" i="1"/>
  <c r="F258" i="1"/>
  <c r="H257" i="1"/>
  <c r="F257" i="1"/>
  <c r="H256" i="1"/>
  <c r="F256" i="1"/>
  <c r="H255" i="1"/>
  <c r="F255" i="1"/>
  <c r="H254" i="1"/>
  <c r="F254" i="1"/>
  <c r="H253" i="1"/>
  <c r="F253" i="1"/>
  <c r="H252" i="1"/>
  <c r="F252" i="1"/>
  <c r="H251" i="1"/>
  <c r="F251" i="1"/>
  <c r="H250" i="1"/>
  <c r="F250" i="1"/>
  <c r="H249" i="1"/>
  <c r="F249" i="1"/>
  <c r="H248" i="1"/>
  <c r="F248" i="1"/>
  <c r="H247" i="1"/>
  <c r="F247" i="1"/>
  <c r="H246" i="1"/>
  <c r="F246" i="1"/>
  <c r="H245" i="1"/>
  <c r="F245" i="1"/>
  <c r="H244" i="1"/>
  <c r="F244" i="1"/>
  <c r="H243" i="1"/>
  <c r="F243" i="1"/>
  <c r="H242" i="1"/>
  <c r="F242" i="1"/>
  <c r="H241" i="1"/>
  <c r="F241" i="1"/>
  <c r="H240" i="1"/>
  <c r="F240" i="1"/>
  <c r="H239" i="1"/>
  <c r="F239" i="1"/>
  <c r="H238" i="1"/>
  <c r="F238" i="1"/>
  <c r="H237" i="1"/>
  <c r="F237" i="1"/>
  <c r="H236" i="1"/>
  <c r="F236" i="1"/>
  <c r="H235" i="1"/>
  <c r="F235" i="1"/>
  <c r="H234" i="1"/>
  <c r="F234" i="1"/>
  <c r="H233" i="1"/>
  <c r="F233" i="1"/>
  <c r="H232" i="1"/>
  <c r="F232" i="1"/>
  <c r="H231" i="1"/>
  <c r="F231" i="1"/>
  <c r="H230" i="1"/>
  <c r="F230" i="1"/>
  <c r="H229" i="1"/>
  <c r="F229" i="1"/>
  <c r="H228" i="1"/>
  <c r="F228" i="1"/>
  <c r="H227" i="1"/>
  <c r="F227" i="1"/>
  <c r="H226" i="1"/>
  <c r="F226" i="1"/>
  <c r="H225" i="1"/>
  <c r="F225" i="1"/>
  <c r="H224" i="1"/>
  <c r="F224" i="1"/>
  <c r="H223" i="1"/>
  <c r="F223" i="1"/>
  <c r="H222" i="1"/>
  <c r="F222" i="1"/>
  <c r="H221" i="1"/>
  <c r="F221" i="1"/>
  <c r="H220" i="1"/>
  <c r="F220" i="1"/>
  <c r="H219" i="1"/>
  <c r="F219" i="1"/>
  <c r="H218" i="1"/>
  <c r="F218" i="1"/>
  <c r="H217" i="1"/>
  <c r="F217" i="1"/>
  <c r="H216" i="1"/>
  <c r="F216" i="1"/>
  <c r="H215" i="1"/>
  <c r="F215" i="1"/>
  <c r="H214" i="1"/>
  <c r="F214" i="1"/>
  <c r="H213" i="1"/>
  <c r="F213" i="1"/>
  <c r="H212" i="1"/>
  <c r="F212" i="1"/>
  <c r="H211" i="1"/>
  <c r="F211" i="1"/>
  <c r="H210" i="1"/>
  <c r="F210" i="1"/>
  <c r="H209" i="1"/>
  <c r="F209" i="1"/>
  <c r="H208" i="1"/>
  <c r="F208" i="1"/>
  <c r="H207" i="1"/>
  <c r="F207" i="1"/>
  <c r="H206" i="1"/>
  <c r="F206" i="1"/>
  <c r="H205" i="1"/>
  <c r="F205" i="1"/>
  <c r="H204" i="1"/>
  <c r="F204" i="1"/>
  <c r="H203" i="1"/>
  <c r="F203" i="1"/>
  <c r="H202" i="1"/>
  <c r="F202" i="1"/>
  <c r="H201" i="1"/>
  <c r="F201" i="1"/>
  <c r="H200" i="1"/>
  <c r="F200" i="1"/>
  <c r="H199" i="1"/>
  <c r="F199" i="1"/>
  <c r="H198" i="1"/>
  <c r="F198" i="1"/>
  <c r="H197" i="1"/>
  <c r="F197" i="1"/>
  <c r="H196" i="1"/>
  <c r="F196" i="1"/>
  <c r="H195" i="1"/>
  <c r="F195" i="1"/>
  <c r="H194" i="1"/>
  <c r="F194" i="1"/>
  <c r="H193" i="1"/>
  <c r="F193" i="1"/>
  <c r="H192" i="1"/>
  <c r="F192" i="1"/>
  <c r="H191" i="1"/>
  <c r="F191" i="1"/>
  <c r="H190" i="1"/>
  <c r="F190" i="1"/>
  <c r="H189" i="1"/>
  <c r="F189" i="1"/>
  <c r="H188" i="1"/>
  <c r="F188" i="1"/>
  <c r="H187" i="1"/>
  <c r="F187" i="1"/>
  <c r="H186" i="1"/>
  <c r="F186" i="1"/>
  <c r="H185" i="1"/>
  <c r="F185" i="1"/>
  <c r="H184" i="1"/>
  <c r="F184" i="1"/>
  <c r="H183" i="1"/>
  <c r="F183" i="1"/>
  <c r="H182" i="1"/>
  <c r="F182" i="1"/>
  <c r="H181" i="1"/>
  <c r="F181" i="1"/>
  <c r="H180" i="1"/>
  <c r="F180" i="1"/>
  <c r="H179" i="1"/>
  <c r="F179" i="1"/>
  <c r="H178" i="1"/>
  <c r="F178" i="1"/>
  <c r="H177" i="1"/>
  <c r="F177" i="1"/>
  <c r="H176" i="1"/>
  <c r="F176" i="1"/>
  <c r="H175" i="1"/>
  <c r="F175" i="1"/>
  <c r="H174" i="1"/>
  <c r="F174" i="1"/>
  <c r="H173" i="1"/>
  <c r="F173" i="1"/>
  <c r="H172" i="1"/>
  <c r="F172" i="1"/>
  <c r="H171" i="1"/>
  <c r="F171" i="1"/>
  <c r="H170" i="1"/>
  <c r="F170" i="1"/>
  <c r="H169" i="1"/>
  <c r="F169" i="1"/>
  <c r="H168" i="1"/>
  <c r="F168" i="1"/>
  <c r="H167" i="1"/>
  <c r="F167" i="1"/>
  <c r="H166" i="1"/>
  <c r="F166" i="1"/>
  <c r="H165" i="1"/>
  <c r="F165" i="1"/>
  <c r="H164" i="1"/>
  <c r="F164" i="1"/>
  <c r="H163" i="1"/>
  <c r="F163" i="1"/>
  <c r="H162" i="1"/>
  <c r="F162" i="1"/>
  <c r="H161" i="1"/>
  <c r="F161" i="1"/>
  <c r="H160" i="1"/>
  <c r="F160" i="1"/>
  <c r="H159" i="1"/>
  <c r="F159" i="1"/>
  <c r="H158" i="1"/>
  <c r="F158" i="1"/>
  <c r="H157" i="1"/>
  <c r="F157" i="1"/>
  <c r="H156" i="1"/>
  <c r="F156" i="1"/>
  <c r="H155" i="1"/>
  <c r="F155" i="1"/>
  <c r="H154" i="1"/>
  <c r="F154" i="1"/>
  <c r="H153" i="1"/>
  <c r="F153" i="1"/>
  <c r="H152" i="1"/>
  <c r="F152" i="1"/>
  <c r="H151" i="1"/>
  <c r="F151" i="1"/>
  <c r="H150" i="1"/>
  <c r="F150" i="1"/>
  <c r="H149" i="1"/>
  <c r="F149" i="1"/>
  <c r="H148" i="1"/>
  <c r="F148" i="1"/>
  <c r="H147" i="1"/>
  <c r="F147" i="1"/>
  <c r="H146" i="1"/>
  <c r="F146" i="1"/>
  <c r="H145" i="1"/>
  <c r="F145" i="1"/>
  <c r="H144" i="1"/>
  <c r="F144" i="1"/>
  <c r="H143" i="1"/>
  <c r="F143" i="1"/>
  <c r="H142" i="1"/>
  <c r="F142" i="1"/>
  <c r="H141" i="1"/>
  <c r="F141" i="1"/>
  <c r="H140" i="1"/>
  <c r="F140" i="1"/>
  <c r="H139" i="1"/>
  <c r="F139" i="1"/>
  <c r="H138" i="1"/>
  <c r="F138" i="1"/>
  <c r="H137" i="1"/>
  <c r="F137" i="1"/>
  <c r="H136" i="1"/>
  <c r="F136" i="1"/>
  <c r="H135" i="1"/>
  <c r="F135" i="1"/>
  <c r="H134" i="1"/>
  <c r="F134" i="1"/>
  <c r="H133" i="1"/>
  <c r="F133" i="1"/>
  <c r="H132" i="1"/>
  <c r="F132" i="1"/>
  <c r="H131" i="1"/>
  <c r="F131" i="1"/>
  <c r="H130" i="1"/>
  <c r="F130" i="1"/>
  <c r="H129" i="1"/>
  <c r="F129" i="1"/>
  <c r="H128" i="1"/>
  <c r="F128" i="1"/>
  <c r="H127" i="1"/>
  <c r="F127" i="1"/>
  <c r="H126" i="1"/>
  <c r="F126" i="1"/>
  <c r="H125" i="1"/>
  <c r="F125" i="1"/>
  <c r="H124" i="1"/>
  <c r="F124" i="1"/>
  <c r="H123" i="1"/>
  <c r="F123" i="1"/>
  <c r="H122" i="1"/>
  <c r="F122" i="1"/>
  <c r="H121" i="1"/>
  <c r="F121" i="1"/>
  <c r="H120" i="1"/>
  <c r="F120" i="1"/>
  <c r="H119" i="1"/>
  <c r="F119" i="1"/>
  <c r="H118" i="1"/>
  <c r="F118" i="1"/>
  <c r="H117" i="1"/>
  <c r="F117" i="1"/>
  <c r="H116" i="1"/>
  <c r="F116" i="1"/>
  <c r="H115" i="1"/>
  <c r="F115" i="1"/>
  <c r="H114" i="1"/>
  <c r="F114" i="1"/>
  <c r="H113" i="1"/>
  <c r="F113" i="1"/>
  <c r="H112" i="1"/>
  <c r="F112" i="1"/>
  <c r="H111" i="1"/>
  <c r="F111" i="1"/>
  <c r="H110" i="1"/>
  <c r="F110" i="1"/>
  <c r="H109" i="1"/>
  <c r="F109" i="1"/>
  <c r="H108" i="1"/>
  <c r="F108" i="1"/>
  <c r="H107" i="1"/>
  <c r="F107" i="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H91" i="1"/>
  <c r="F91" i="1"/>
  <c r="H90" i="1"/>
  <c r="F90" i="1"/>
  <c r="H89" i="1"/>
  <c r="F89" i="1"/>
  <c r="H88" i="1"/>
  <c r="F88" i="1"/>
  <c r="H87" i="1"/>
  <c r="F87" i="1"/>
  <c r="H86" i="1"/>
  <c r="F86" i="1"/>
  <c r="H85" i="1"/>
  <c r="F85" i="1"/>
  <c r="H84" i="1"/>
  <c r="F84" i="1"/>
  <c r="H83" i="1"/>
  <c r="F83" i="1"/>
  <c r="H82" i="1"/>
  <c r="F82" i="1"/>
  <c r="H81" i="1"/>
  <c r="F81" i="1"/>
  <c r="H80" i="1"/>
  <c r="F80" i="1"/>
  <c r="H79" i="1"/>
  <c r="F79" i="1"/>
  <c r="H78" i="1"/>
  <c r="F78" i="1"/>
  <c r="H77" i="1"/>
  <c r="F77" i="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H62" i="1"/>
  <c r="F62" i="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H16" i="1"/>
  <c r="F16" i="1"/>
  <c r="H15" i="1"/>
  <c r="F15" i="1"/>
  <c r="H14" i="1"/>
  <c r="F14" i="1"/>
  <c r="H13" i="1"/>
  <c r="F13" i="1"/>
  <c r="H12" i="1"/>
  <c r="F12" i="1"/>
  <c r="H11" i="1"/>
  <c r="F11" i="1"/>
  <c r="H10" i="1"/>
  <c r="F10" i="1"/>
  <c r="H9" i="1"/>
  <c r="F9" i="1"/>
  <c r="H8" i="1"/>
  <c r="F8" i="1"/>
</calcChain>
</file>

<file path=xl/sharedStrings.xml><?xml version="1.0" encoding="utf-8"?>
<sst xmlns="http://schemas.openxmlformats.org/spreadsheetml/2006/main" count="11700" uniqueCount="3336">
  <si>
    <t>Source:</t>
  </si>
  <si>
    <t>EM-DAT, CRED / UCLouvain, Brussels, Belgium</t>
  </si>
  <si>
    <t>www.emdat.be</t>
  </si>
  <si>
    <t>Version:</t>
  </si>
  <si>
    <t>2023-03-17</t>
  </si>
  <si>
    <t>File creation:</t>
  </si>
  <si>
    <t>Fri, 17 Mar 2023 18:41:55 CET</t>
  </si>
  <si>
    <t xml:space="preserve"> </t>
  </si>
  <si>
    <t>Table type:</t>
  </si>
  <si>
    <t>Custom request</t>
  </si>
  <si>
    <t># of records:</t>
  </si>
  <si>
    <t>663</t>
  </si>
  <si>
    <t>Dis No</t>
  </si>
  <si>
    <t>Year</t>
  </si>
  <si>
    <t>Seq</t>
  </si>
  <si>
    <t>Glide</t>
  </si>
  <si>
    <t>Disaster Group</t>
  </si>
  <si>
    <t>DisasterSubgroupCoding</t>
  </si>
  <si>
    <t>Disaster Subgroup</t>
  </si>
  <si>
    <t>Disaster TypeCoding</t>
  </si>
  <si>
    <t>Disaster Type</t>
  </si>
  <si>
    <t>Disaster Subtype</t>
  </si>
  <si>
    <t>Disaster Subsubtype</t>
  </si>
  <si>
    <t>Event Name</t>
  </si>
  <si>
    <t>Country</t>
  </si>
  <si>
    <t>ISO</t>
  </si>
  <si>
    <t>Region</t>
  </si>
  <si>
    <t>Continent</t>
  </si>
  <si>
    <t>Location</t>
  </si>
  <si>
    <t>Origin</t>
  </si>
  <si>
    <t>AvgPercipitationMonth</t>
  </si>
  <si>
    <t>AvgMinTempMonth</t>
  </si>
  <si>
    <t>AvgMaxTempMonth</t>
  </si>
  <si>
    <t>Associated Dis</t>
  </si>
  <si>
    <t>Associated Dis2</t>
  </si>
  <si>
    <t>OFDA Response</t>
  </si>
  <si>
    <t>Appeal</t>
  </si>
  <si>
    <t>Declaration</t>
  </si>
  <si>
    <t>AID Contribution ('000 US$)</t>
  </si>
  <si>
    <t>Dis Mag Value</t>
  </si>
  <si>
    <t>Dis Mag Scale</t>
  </si>
  <si>
    <t>Latitude</t>
  </si>
  <si>
    <t>Longitude</t>
  </si>
  <si>
    <t>Local Time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</si>
  <si>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</si>
  <si>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</si>
  <si>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</si>
  <si>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</si>
  <si>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</si>
  <si>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</si>
  <si>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</si>
  <si>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</si>
  <si>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</si>
  <si>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</si>
  <si>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</si>
  <si>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</si>
  <si>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</si>
  <si>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</si>
  <si>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Damages ('000 US$)</t>
  </si>
  <si>
    <t>Insured Damages, Adjusted ('000 US$)</t>
  </si>
  <si>
    <t>Total Damages ('000 US$)</t>
  </si>
  <si>
    <t>Total Damages, Adjusted ('000 US$)</t>
  </si>
  <si>
    <t>CPI</t>
  </si>
  <si>
    <t>Adm Level</t>
  </si>
  <si>
    <t>Admin1 Code</t>
  </si>
  <si>
    <t>Admin2 Code</t>
  </si>
  <si>
    <t>Geo Locations</t>
  </si>
  <si>
    <t>Target</t>
  </si>
  <si>
    <t>2000-0420-CAN</t>
  </si>
  <si>
    <t>2000</t>
  </si>
  <si>
    <t>0420</t>
  </si>
  <si>
    <t>Natural</t>
  </si>
  <si>
    <t>Meteorological</t>
  </si>
  <si>
    <t>Storm</t>
  </si>
  <si>
    <t>Convective storm</t>
  </si>
  <si>
    <t>Tornado</t>
  </si>
  <si>
    <t>Canada</t>
  </si>
  <si>
    <t>CAN</t>
  </si>
  <si>
    <t>Northern America</t>
  </si>
  <si>
    <t>Americas</t>
  </si>
  <si>
    <t>Pine Lake area (Division No. 8 district, Alberta province)</t>
  </si>
  <si>
    <t>Kph</t>
  </si>
  <si>
    <t>2</t>
  </si>
  <si>
    <t>12527</t>
  </si>
  <si>
    <t>Division No. 8 (Adm2).</t>
  </si>
  <si>
    <t>2001-0052-CAN</t>
  </si>
  <si>
    <t>2001</t>
  </si>
  <si>
    <t>0052</t>
  </si>
  <si>
    <t>Quebec province</t>
  </si>
  <si>
    <t>1</t>
  </si>
  <si>
    <t>835</t>
  </si>
  <si>
    <t>Quebec / Québec (Adm1).</t>
  </si>
  <si>
    <t>2000-0080-USA</t>
  </si>
  <si>
    <t>0080</t>
  </si>
  <si>
    <t>Hydrological</t>
  </si>
  <si>
    <t>Flood</t>
  </si>
  <si>
    <t>Riverine flood</t>
  </si>
  <si>
    <t>United States of America (the)</t>
  </si>
  <si>
    <t>USA</t>
  </si>
  <si>
    <t>Kentucky, Ohio provinces</t>
  </si>
  <si>
    <t>Heavy rain</t>
  </si>
  <si>
    <t>Slide (land, mud, snow, rock)</t>
  </si>
  <si>
    <t>Km2</t>
  </si>
  <si>
    <t>Licking River, Ohio River, Scioto River</t>
  </si>
  <si>
    <t>3231;3249</t>
  </si>
  <si>
    <t>Kentucky, Ohio (Adm1).</t>
  </si>
  <si>
    <t>2000-0500-USA</t>
  </si>
  <si>
    <t>0500</t>
  </si>
  <si>
    <t>Morris, Sussex districts (New Jersey province)</t>
  </si>
  <si>
    <t>30464;30469</t>
  </si>
  <si>
    <t>Morris, Sussex (Adm2).</t>
  </si>
  <si>
    <t>2000-0919-USA</t>
  </si>
  <si>
    <t>0919</t>
  </si>
  <si>
    <t>Alabama, Georgia, Louisiana, North Carolina, South Carolina, Tennessee, Virginia, New York, Pennsylvania, Massachussetts provinces</t>
  </si>
  <si>
    <t>Cold wave</t>
  </si>
  <si>
    <t>3214;3224;3232;3235;3246;3247;3252;3254;3256;3260</t>
  </si>
  <si>
    <t>Alabama, Georgia, Louisiana, Massachusetts, New York, North Carolina, Pennsylvania, South Carolina, Tennessee, Virginia (Adm1).</t>
  </si>
  <si>
    <t>2000-9712-USA</t>
  </si>
  <si>
    <t>9712</t>
  </si>
  <si>
    <t>Climatological</t>
  </si>
  <si>
    <t>Drought</t>
  </si>
  <si>
    <t>Wyoming province</t>
  </si>
  <si>
    <t>Wildfire</t>
  </si>
  <si>
    <t>3264</t>
  </si>
  <si>
    <t>Wyoming (Adm1).</t>
  </si>
  <si>
    <t>2000-0838-USA</t>
  </si>
  <si>
    <t>0838</t>
  </si>
  <si>
    <t>Winter storm/Blizzard</t>
  </si>
  <si>
    <t>Texas, Oklahoma, New Mexico, Arkansas, Missouri, Minnesota provinces</t>
  </si>
  <si>
    <t>Transport accident</t>
  </si>
  <si>
    <t>3217;3237;3239;3245;3250;3257</t>
  </si>
  <si>
    <t>Arkansas, Minnesota, Missouri, New Mexico, Oklahoma, Texas (Adm1).</t>
  </si>
  <si>
    <t>2000-0021-USA</t>
  </si>
  <si>
    <t>0021</t>
  </si>
  <si>
    <t>Crittenden, Daviess, Webster districts (Kentucky province)</t>
  </si>
  <si>
    <t>29698;29700;29787</t>
  </si>
  <si>
    <t>Crittenden, Daviess, Webster (Adm2).</t>
  </si>
  <si>
    <t>2000-0067-USA</t>
  </si>
  <si>
    <t>0067</t>
  </si>
  <si>
    <t>Bullock, Montgomery districts (Alabama province), Colquitt, Grady, Mitchell, Thomas, Tift districts (Georgia province), Washington district (Floride province), Lonoke, Prairie, Saline districts (Arkansas province)</t>
  </si>
  <si>
    <t>28696;28741;28832;28848;28851;29064;29099;29107;29129;29165;29200;29201</t>
  </si>
  <si>
    <t>Bullock, Colquitt, Decatur, Grady, Lonoke, Mitchell, Montgomery, Prairie, Saline, Thomas, Tift, Washington (Adm2).</t>
  </si>
  <si>
    <t>2000-0175-USA</t>
  </si>
  <si>
    <t>0175</t>
  </si>
  <si>
    <t>Fort Worth Texas city (Tarrant district, Texas province), Reagan, Burleson districts (Texas province)</t>
  </si>
  <si>
    <t>31225;31391;31419</t>
  </si>
  <si>
    <t>Burleson, Reagan, Tarrant (Adm2).</t>
  </si>
  <si>
    <t>2000-0338-USA</t>
  </si>
  <si>
    <t>0338</t>
  </si>
  <si>
    <t>Adams, Columbia, Crawford, Dane, Dodge, Grant, Green, Iowa, Juneau, La crosse, Lafayette, Monroe, Richland, Rock, Sauk, Vernon districts (Wisconsin province)</t>
  </si>
  <si>
    <t>31724;31734;31735;31736;31737;31745;31746;31748;31752;31755;31756;31765;31776;31777;31779;31786</t>
  </si>
  <si>
    <t>Adams, Columbia, Crawford, Dane, Dodge, Grant, Green, Iowa, Juneau, La Crosse, Lafayette, Monroe, Richland, Rock, Sauk, Vernon (Adm2).</t>
  </si>
  <si>
    <t>2000-0463-USA</t>
  </si>
  <si>
    <t>0463</t>
  </si>
  <si>
    <t>Granite Falls city (Yellow Medicine, Minnesota province)</t>
  </si>
  <si>
    <t>30078</t>
  </si>
  <si>
    <t>Yellow Medicine (Adm2).</t>
  </si>
  <si>
    <t>2000-0614-USA</t>
  </si>
  <si>
    <t>0614</t>
  </si>
  <si>
    <t>Xenia city (Greene district, Ohio province)</t>
  </si>
  <si>
    <t>30748</t>
  </si>
  <si>
    <t>Greene (Adm2).</t>
  </si>
  <si>
    <t>2000-0756-USA</t>
  </si>
  <si>
    <t>0756</t>
  </si>
  <si>
    <t>Buffalo city (Erie district, New York province)</t>
  </si>
  <si>
    <t>30519</t>
  </si>
  <si>
    <t>Erie (Adm2).</t>
  </si>
  <si>
    <t>2000-0360-USA</t>
  </si>
  <si>
    <t>0360</t>
  </si>
  <si>
    <t>Severe storm</t>
  </si>
  <si>
    <t>Anderson, Benton, Cheatham, Davidson, Henry, Hickman, Houston, Jackson, Knox, Lake, Obion, Perry, Pickett, Stewart districts (Tennessee province)</t>
  </si>
  <si>
    <t>31105;31107;31115;31123;31144;31145;31146;31148;31151;31152;31170;31172;31173;31185</t>
  </si>
  <si>
    <t>Anderson, Benton, Cheatham, Davidson, Henry, Hickman, Houston, Jackson, Knox, Lake, Obion, Perry, Pickett, Stewart (Adm2).</t>
  </si>
  <si>
    <t>2000-0598-USA</t>
  </si>
  <si>
    <t>0598</t>
  </si>
  <si>
    <t>Geophysical</t>
  </si>
  <si>
    <t>Earthquake</t>
  </si>
  <si>
    <t>Ground movement</t>
  </si>
  <si>
    <t>Near Yountville city (Napa district, California province)</t>
  </si>
  <si>
    <t>Richter</t>
  </si>
  <si>
    <t>1:36</t>
  </si>
  <si>
    <t>28892</t>
  </si>
  <si>
    <t>Napa (Adm2).</t>
  </si>
  <si>
    <t>2000-0232-USA</t>
  </si>
  <si>
    <t>0232</t>
  </si>
  <si>
    <t>Flash flood</t>
  </si>
  <si>
    <t>Franklin, Jefferson districts (Missouri province)</t>
  </si>
  <si>
    <t>Brief torrential rain</t>
  </si>
  <si>
    <t>Flat Creek, Bourbeuse, Big and Meramec rivers</t>
  </si>
  <si>
    <t>30196;30210</t>
  </si>
  <si>
    <t>Franklin, Jefferson (Adm2).</t>
  </si>
  <si>
    <t>2000-0271-USA</t>
  </si>
  <si>
    <t>0271</t>
  </si>
  <si>
    <t>Oklahoma province</t>
  </si>
  <si>
    <t>Polecat Creek, Bird Creek, Neosho River, and Caney River</t>
  </si>
  <si>
    <t>3250</t>
  </si>
  <si>
    <t>Oklahoma (Adm1).</t>
  </si>
  <si>
    <t>2000-0865-USA</t>
  </si>
  <si>
    <t>0865</t>
  </si>
  <si>
    <t>Maui district (Hawaii province)</t>
  </si>
  <si>
    <t>Heavy rains</t>
  </si>
  <si>
    <t>29228</t>
  </si>
  <si>
    <t>Maui (Adm2).</t>
  </si>
  <si>
    <t>2000-0937-USA</t>
  </si>
  <si>
    <t>0937</t>
  </si>
  <si>
    <t>Tuscaloosa district (Alabama province), Connecticut, Florida, Georgia, Massachusetts, Mississippi, Norh Carolina, New Jersey, New York, Pennsylvania, Rhode Island provinces</t>
  </si>
  <si>
    <t>1;2</t>
  </si>
  <si>
    <t>3220;3223;3224;3235;3238;3244;3246;3247;3252;3253</t>
  </si>
  <si>
    <t>28753</t>
  </si>
  <si>
    <t>Connecticut, Florida, Georgia, Massachusetts, Mississippi, New Jersey, New York, North Carolina, Pennsylvania, Rhode Island (Adm1). Tuscaloosa (Adm2).</t>
  </si>
  <si>
    <t>2000-0652-USA</t>
  </si>
  <si>
    <t>0652</t>
  </si>
  <si>
    <t>Tropical cyclone</t>
  </si>
  <si>
    <t>Leslie</t>
  </si>
  <si>
    <t>Miami-Dade, Monroe, Broward, Collier districts (Florida province)</t>
  </si>
  <si>
    <t>29003;29008;29040;29041</t>
  </si>
  <si>
    <t>Broward, Collier, Miami-Dade, Monroe (Adm2).</t>
  </si>
  <si>
    <t>2000-0433-USA</t>
  </si>
  <si>
    <t>0433</t>
  </si>
  <si>
    <t>Extreme temperature</t>
  </si>
  <si>
    <t>Heat wave</t>
  </si>
  <si>
    <t>Texas, Louisiana, Alabama provinces</t>
  </si>
  <si>
    <t>°C</t>
  </si>
  <si>
    <t>3214;3232;3257</t>
  </si>
  <si>
    <t>Alabama, Louisiana, Texas (Adm1).</t>
  </si>
  <si>
    <t>2000-0128-USA</t>
  </si>
  <si>
    <t>0128</t>
  </si>
  <si>
    <t>Forest fire</t>
  </si>
  <si>
    <t>Gainesville, Alachua areas (Alachua district, Florida province), Lafayette, Gulf districts (Florida province)</t>
  </si>
  <si>
    <t>28998;29019;29030</t>
  </si>
  <si>
    <t>Alachua, Gulf, Lafayette (Adm2).</t>
  </si>
  <si>
    <t>2000-0240-USA</t>
  </si>
  <si>
    <t>0240</t>
  </si>
  <si>
    <t>Los Alamos, Rio Arriba, Sandoval, Santa Fe districts (New Mexico province)</t>
  </si>
  <si>
    <t>30487;30493;30497;30498</t>
  </si>
  <si>
    <t>Los Alamos, Rio Arriba, Sandoval, Santa Fe (Adm2).</t>
  </si>
  <si>
    <t>2000-0279-USA</t>
  </si>
  <si>
    <t>0279</t>
  </si>
  <si>
    <t>Sarasota district (Florida province)</t>
  </si>
  <si>
    <t>29053</t>
  </si>
  <si>
    <t>Sarasota (Adm2).</t>
  </si>
  <si>
    <t>2000-0363-USA</t>
  </si>
  <si>
    <t>0363</t>
  </si>
  <si>
    <t>Park, Jefferson, Larimer districts (Colorado province)</t>
  </si>
  <si>
    <t>28957;28969;154741</t>
  </si>
  <si>
    <t>Jefferson, Larimer, Park (Adm2).</t>
  </si>
  <si>
    <t>2000-0406-USA</t>
  </si>
  <si>
    <t>0406</t>
  </si>
  <si>
    <t>Hanford area (Benton district, Washington province)</t>
  </si>
  <si>
    <t>31632</t>
  </si>
  <si>
    <t>Benton (Adm2).</t>
  </si>
  <si>
    <t>2000-0450-USA</t>
  </si>
  <si>
    <t>0450</t>
  </si>
  <si>
    <t>Alaska province</t>
  </si>
  <si>
    <t>3215</t>
  </si>
  <si>
    <t>Alaska (Adm1).</t>
  </si>
  <si>
    <t>2000-0465-USA</t>
  </si>
  <si>
    <t>0465</t>
  </si>
  <si>
    <t>Arizona, California, Colorado, Idaho, Montana, Nevada, New Mexico, Oregon, South Dakota, Texas, Utah, Washington, Wyoming, Florida, North Dakota provinces</t>
  </si>
  <si>
    <t>3216;3218;3219;3223;3226;3240;3242;3245;3248;3251;3255;3257;3258;3261;3264</t>
  </si>
  <si>
    <t>Arizona, California, Colorado, Florida, Idaho, Montana, Nevada, New Mexico, North Dakota, Oregon, South Dakota, Texas, Utah, Washington, Wyoming (Adm1).</t>
  </si>
  <si>
    <t>2000-9339-USA</t>
  </si>
  <si>
    <t>9339</t>
  </si>
  <si>
    <t>South Carolina, Georgia, Alabama, Florida, Louisiana, Texas provinces</t>
  </si>
  <si>
    <t>Yes</t>
  </si>
  <si>
    <t>3214;3223;3224;3232;3254;3257</t>
  </si>
  <si>
    <t>Alabama, Florida, Georgia, Louisiana, South Carolina, Texas (Adm1).</t>
  </si>
  <si>
    <t>2000-0296-USA</t>
  </si>
  <si>
    <t>0296</t>
  </si>
  <si>
    <t>Liberty district (Texas province)</t>
  </si>
  <si>
    <t>31345</t>
  </si>
  <si>
    <t>Liberty (Adm2).</t>
  </si>
  <si>
    <t>2000-0297-USA</t>
  </si>
  <si>
    <t>0297</t>
  </si>
  <si>
    <t>Franklin, Jefferson, Gasconade districts (Missouri province)</t>
  </si>
  <si>
    <t>30196;30197;30210</t>
  </si>
  <si>
    <t>Franklin, Gasconade, Jefferson (Adm2).</t>
  </si>
  <si>
    <t>2000-0502-USA</t>
  </si>
  <si>
    <t>0502</t>
  </si>
  <si>
    <t>Pennsylvania province</t>
  </si>
  <si>
    <t>3252</t>
  </si>
  <si>
    <t>Pennsylvania (Adm1).</t>
  </si>
  <si>
    <t>2001-0106-USA</t>
  </si>
  <si>
    <t>0106</t>
  </si>
  <si>
    <t>Virginia, New Jersey, Pennsylvania, North Carolina, West Virginia, Maryland provinces</t>
  </si>
  <si>
    <t>3234;3244;3247;3252;3260;3262</t>
  </si>
  <si>
    <t>Maryland, New Jersey, North Carolina, Pennsylvania, Virginia, West Virginia (Adm1).</t>
  </si>
  <si>
    <t>2001-0102-USA</t>
  </si>
  <si>
    <t>0102</t>
  </si>
  <si>
    <t>Calhoun, Lee, Pontotoc, Prentiss, Union districts (Mississippi province)</t>
  </si>
  <si>
    <t>30085;30119;30136;30137;30151</t>
  </si>
  <si>
    <t>Calhoun, Lee, Pontotoc, Prentiss, Union (Adm2).</t>
  </si>
  <si>
    <t>2001-0099-USA</t>
  </si>
  <si>
    <t>0099</t>
  </si>
  <si>
    <t>Seattle city (King district), Tacoma city (Pierce district), Olympia city (Thurston district) (Washington province)</t>
  </si>
  <si>
    <t>10:54</t>
  </si>
  <si>
    <t>31646;31656;31663</t>
  </si>
  <si>
    <t>King, Pierce, Thurston (Adm2).</t>
  </si>
  <si>
    <t>2001-0340-CAN</t>
  </si>
  <si>
    <t>0340</t>
  </si>
  <si>
    <t>Alberta province</t>
  </si>
  <si>
    <t>825</t>
  </si>
  <si>
    <t>Alberta (Adm1).</t>
  </si>
  <si>
    <t>2001-0203-CAN</t>
  </si>
  <si>
    <t>0203</t>
  </si>
  <si>
    <t>Biological</t>
  </si>
  <si>
    <t>Epidemic</t>
  </si>
  <si>
    <t>Parasitic disease</t>
  </si>
  <si>
    <t>Cryptosporidiosis</t>
  </si>
  <si>
    <t>Saskatchewan, Alberta</t>
  </si>
  <si>
    <t>Vaccinated</t>
  </si>
  <si>
    <t>2002-0404-CAN</t>
  </si>
  <si>
    <t>2002</t>
  </si>
  <si>
    <t>0404</t>
  </si>
  <si>
    <t>Fort Frances, Rainy River, Alberton, Atikokan, Chapple, Dawson, Emo, La Vallee cities (Kenora district, Ontario province), Ignace, Lake of the Woods, Nestor Falls, Sioux Narrows, Machin cities (Rainy river district, Ontario province)</t>
  </si>
  <si>
    <t>12660;12679</t>
  </si>
  <si>
    <t>Kenora, Rainy River (Adm2).</t>
  </si>
  <si>
    <t>2002-0409-CAN</t>
  </si>
  <si>
    <t>0409</t>
  </si>
  <si>
    <t>Lac-Saint-Jean-Est, Le Domaine-du-Roy, Le Saguenay-et-son-Fjord, Maria-Chapdelaine, Nord-du-Québec districts (Quebec / Québec province)</t>
  </si>
  <si>
    <t>12739;12744;12745;12766;12776</t>
  </si>
  <si>
    <t>Lac-Saint-Jean-Est, Le Domaine-du-Roy, Le Saguenay-et-son-Fjord, Maria-Chapdelaine, Nord-du-Québec (Adm2).</t>
  </si>
  <si>
    <t>2002-0687-CAN</t>
  </si>
  <si>
    <t>0687</t>
  </si>
  <si>
    <t>Viral disease</t>
  </si>
  <si>
    <t>West Nile Fever</t>
  </si>
  <si>
    <t>Alberta, Ontario, Quebec</t>
  </si>
  <si>
    <t>No</t>
  </si>
  <si>
    <t>2002-0858-CAN</t>
  </si>
  <si>
    <t>0858</t>
  </si>
  <si>
    <t>Acute respiratory syndrome (SARS)</t>
  </si>
  <si>
    <t>Ontario, British Columbia</t>
  </si>
  <si>
    <t>2003-0087-CAN</t>
  </si>
  <si>
    <t>2003</t>
  </si>
  <si>
    <t>0087</t>
  </si>
  <si>
    <t>Badger town (Division No. 6 district, Newfoundland and Labrador province)</t>
  </si>
  <si>
    <t>Ice jams</t>
  </si>
  <si>
    <t>Exploits, Red Indian, Badger</t>
  </si>
  <si>
    <t>12613</t>
  </si>
  <si>
    <t>Division No. 6 (Adm2).</t>
  </si>
  <si>
    <t>2001-0266-USA</t>
  </si>
  <si>
    <t>0266</t>
  </si>
  <si>
    <t>New Hampshire, Vermont, Maine, Massachusetts, Rhode Island provinces</t>
  </si>
  <si>
    <t>Snow/ice</t>
  </si>
  <si>
    <t>3233;3235;3243;3253;3259</t>
  </si>
  <si>
    <t>Maine, Massachusetts, New Hampshire, Rhode Island, Vermont (Adm1).</t>
  </si>
  <si>
    <t>2001-0460-USA</t>
  </si>
  <si>
    <t>0460</t>
  </si>
  <si>
    <t>Virginia province</t>
  </si>
  <si>
    <t>Mullens, Pineville, Welch, Corinne, Kimble, Dorothy. Guyandotte and Tug Fork rivers</t>
  </si>
  <si>
    <t>3260</t>
  </si>
  <si>
    <t>Virginia (Adm1).</t>
  </si>
  <si>
    <t>2001-0145-USA</t>
  </si>
  <si>
    <t>0145</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</si>
  <si>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</si>
  <si>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Hail</t>
  </si>
  <si>
    <t>29329;29472;29473;29474;29499;29505;29506;29518;29531;29544;29546;29556;29560;29589;29591;29594;29610;29612;29636;29644;29647;29657;29663;29666;30174;30183;30187;30196;30198;30211;30221;30240;30258;30274;30365;30396;30408;30416;30421;30810;30811;30822;30838;30842;30869;30870;31232;31248;31297;31316;31441;31442</t>
  </si>
  <si>
    <t>Atoka, Beaver, Benton, Black Hawk, Boone, Callaway, Carson, Clark, Coal, Cooke, Cooper, Edwards, Ellis, Fayette, Ford, Franklin, Gage, Gentry, Guthrie, Hamilton, Hansford, Haskell, Hutchinson, Jewell, Johnson, Johnston, Kearny, Madison, Mills, Nuckolls, Osborne, Pettis, Pontotoc, Pottawatomie, Pottawattamie, Republic, Ringgold, Rooks, Sarpy, Smith, St. Charles, Thayer, Trego, Wapello, Washington, Webster, Wheeler, Wichita, Worth (Adm2).</t>
  </si>
  <si>
    <t>2001-0477-USA</t>
  </si>
  <si>
    <t>0477</t>
  </si>
  <si>
    <t>Watkins area (Adams district, Colorado province)</t>
  </si>
  <si>
    <t>154738</t>
  </si>
  <si>
    <t>Adams (Adm2).</t>
  </si>
  <si>
    <t>2001-0242-USA</t>
  </si>
  <si>
    <t>0242</t>
  </si>
  <si>
    <t>Allison</t>
  </si>
  <si>
    <t>Texas, Mississippi, Louisiana, Florida, Pennsylvania, South Carolina, North Carolina, Georgia, Pensylvania, New Jersey, Virginia, Iowa provinces</t>
  </si>
  <si>
    <t>3223;3224;3229;3232;3238;3244;3247;3252;3254;3257;3260</t>
  </si>
  <si>
    <t>Florida, Georgia, Iowa, Louisiana, Mississippi, New Jersey, North Carolina, Pennsylvania, South Carolina, Texas, Virginia (Adm1).</t>
  </si>
  <si>
    <t>2001-0307-PRI</t>
  </si>
  <si>
    <t>0307</t>
  </si>
  <si>
    <t>Puerto Rico</t>
  </si>
  <si>
    <t>PRI</t>
  </si>
  <si>
    <t>Caribbean</t>
  </si>
  <si>
    <t>Yauco, Guayanilla districts (Mayaguez province)</t>
  </si>
  <si>
    <t>Guanajibo River</t>
  </si>
  <si>
    <t>40077;40084</t>
  </si>
  <si>
    <t>Guayanilla Municipio, Yauco Municipio (Adm2).</t>
  </si>
  <si>
    <t>2001-0194-USA</t>
  </si>
  <si>
    <t>0194</t>
  </si>
  <si>
    <t>Marion, Clay districts (Florida province)</t>
  </si>
  <si>
    <t>29007;29038</t>
  </si>
  <si>
    <t>Clay, Marion (Adm2).</t>
  </si>
  <si>
    <t>2001-0270-USA</t>
  </si>
  <si>
    <t>0270</t>
  </si>
  <si>
    <t>Hoisington city (Barton district, Kansas province)</t>
  </si>
  <si>
    <t>29570</t>
  </si>
  <si>
    <t>Barton (Adm2).</t>
  </si>
  <si>
    <t>2001-0351-USA</t>
  </si>
  <si>
    <t>0351</t>
  </si>
  <si>
    <t>Blue Grass, Bettendorf cities (Scott district, Iowa province), Leon city (Decatur district, Iowa province)</t>
  </si>
  <si>
    <t>29493;29548</t>
  </si>
  <si>
    <t>Decatur, Scott (Adm2).</t>
  </si>
  <si>
    <t>2001-0473-USA</t>
  </si>
  <si>
    <t>0473</t>
  </si>
  <si>
    <t>Siren city (Burnett district, Wisconsin province)</t>
  </si>
  <si>
    <t>31730;31789</t>
  </si>
  <si>
    <t>Burnett, Washburn (Adm2).</t>
  </si>
  <si>
    <t>2001-0474-USA</t>
  </si>
  <si>
    <t>0474</t>
  </si>
  <si>
    <t>Brainerd city (Crow King district, Minnesota province)</t>
  </si>
  <si>
    <t>30009</t>
  </si>
  <si>
    <t>Crow Wing (Adm2).</t>
  </si>
  <si>
    <t>2001-0564-USA</t>
  </si>
  <si>
    <t>0564</t>
  </si>
  <si>
    <t>Cordell city (Washita district, Oklahoma province), Polk, Merrick, Hamilton districts (Nebraska province)</t>
  </si>
  <si>
    <t>30372;30392;30403;30882</t>
  </si>
  <si>
    <t>Hamilton, Merrick, Polk, Washita (Adm2).</t>
  </si>
  <si>
    <t>2001-0566-USA</t>
  </si>
  <si>
    <t>0566</t>
  </si>
  <si>
    <t>Howard, Prince George's districts (Maryland province)</t>
  </si>
  <si>
    <t>29884;29887</t>
  </si>
  <si>
    <t>Howard, Prince George's (Adm2).</t>
  </si>
  <si>
    <t>2001-0601-USA</t>
  </si>
  <si>
    <t>0601</t>
  </si>
  <si>
    <t>Pasadena city (Harris district, Texas province)</t>
  </si>
  <si>
    <t>31300</t>
  </si>
  <si>
    <t>Harris (Adm2).</t>
  </si>
  <si>
    <t>2001-0602-USA</t>
  </si>
  <si>
    <t>0602</t>
  </si>
  <si>
    <t>Hondo city (Medina district, Texas province)</t>
  </si>
  <si>
    <t>31362</t>
  </si>
  <si>
    <t>Medina (Adm2).</t>
  </si>
  <si>
    <t>2001-0773-USA</t>
  </si>
  <si>
    <t>0773</t>
  </si>
  <si>
    <t>Jakson town (Dakota district, Nebraska province)</t>
  </si>
  <si>
    <t>30353</t>
  </si>
  <si>
    <t>Dakota (Adm2).</t>
  </si>
  <si>
    <t>2001-0262-USA</t>
  </si>
  <si>
    <t>0262</t>
  </si>
  <si>
    <t>Cleveland area (Henry district, Illinois province), Barstow, Osborn areas (Rock Island district, Illinois province)</t>
  </si>
  <si>
    <t>Ice jam/break</t>
  </si>
  <si>
    <t>ROck river</t>
  </si>
  <si>
    <t>29309;29353</t>
  </si>
  <si>
    <t>Henry, Rock Island (Adm2).</t>
  </si>
  <si>
    <t>2001-0268-USA</t>
  </si>
  <si>
    <t>0268</t>
  </si>
  <si>
    <t>Minnesota, Iowa, Wisconsin, Illinois provinces</t>
  </si>
  <si>
    <t>Snowmelt</t>
  </si>
  <si>
    <t>Minnesota, Mississippi, St. Croix and Red</t>
  </si>
  <si>
    <t>3227;3229;3237;3263</t>
  </si>
  <si>
    <t>Illinois, Iowa, Minnesota, Wisconsin (Adm1).</t>
  </si>
  <si>
    <t>2001-0724-USA</t>
  </si>
  <si>
    <t>0724</t>
  </si>
  <si>
    <t>Texas province</t>
  </si>
  <si>
    <t>Nueces, Colorado, Guadalupe, Mission, Frio, San Antonio Oso Creek in Corpus Christi, Yegya Creek.</t>
  </si>
  <si>
    <t>3257</t>
  </si>
  <si>
    <t>Texas (Adm1).</t>
  </si>
  <si>
    <t>2001-0770-USA</t>
  </si>
  <si>
    <t>0770</t>
  </si>
  <si>
    <t>Illinois, Indiana, Iowa, Kansas, Michigan, Minnesota, Missouri, Nebraska, North Dakota, Ohio, South Dakota, Wisconsin provinces</t>
  </si>
  <si>
    <t>3227;3228;3229;3230;3236;3237;3239;3241;3248;3249;3255;3263</t>
  </si>
  <si>
    <t>Illinois, Indiana, Iowa, Kansas, Michigan, Minnesota, Missouri, Nebraska, North Dakota, Ohio, South Dakota, Wisconsin (Adm1).</t>
  </si>
  <si>
    <t>2001-0303-USA</t>
  </si>
  <si>
    <t>0303</t>
  </si>
  <si>
    <t>Florida province</t>
  </si>
  <si>
    <t>3223</t>
  </si>
  <si>
    <t>Florida (Adm1).</t>
  </si>
  <si>
    <t>2001-0451-USA</t>
  </si>
  <si>
    <t>0451</t>
  </si>
  <si>
    <t>Oregon, Washington, Idaho, California, Nevada, Colorado, Arizona, Wyoming, Texas, Oklahoma provinces</t>
  </si>
  <si>
    <t>3216;3218;3219;3226;3242;3250;3251;3257;3261;3264</t>
  </si>
  <si>
    <t>Arizona, California, Colorado, Idaho, Nevada, Oklahoma, Oregon, Texas, Washington, Wyoming (Adm1).</t>
  </si>
  <si>
    <t>2001-0722-USA</t>
  </si>
  <si>
    <t>0722</t>
  </si>
  <si>
    <t>Tennessee, Kentucky, West Virginia, Virginia, Georgia provinces</t>
  </si>
  <si>
    <t>3224;3231;3256;3260;3262</t>
  </si>
  <si>
    <t>Georgia, Kentucky, Tennessee, Virginia, West Virginia (Adm1).</t>
  </si>
  <si>
    <t>2001-0771-USA</t>
  </si>
  <si>
    <t>0771</t>
  </si>
  <si>
    <t>Tennesse, Kentucky provinces</t>
  </si>
  <si>
    <t>3231;3256</t>
  </si>
  <si>
    <t>Kentucky, Tennessee (Adm1).</t>
  </si>
  <si>
    <t>2001-0772-USA</t>
  </si>
  <si>
    <t>0772</t>
  </si>
  <si>
    <t>District of Columbia province</t>
  </si>
  <si>
    <t>3222</t>
  </si>
  <si>
    <t>District of Columbia (Adm1).</t>
  </si>
  <si>
    <t>2002-0165-USA</t>
  </si>
  <si>
    <t>0165</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</si>
  <si>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</si>
  <si>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</si>
  <si>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3217;3238;3247;3257</t>
  </si>
  <si>
    <t>29677;29699;31109;31141;31151;31182;31611;31622;31627;31674</t>
  </si>
  <si>
    <t>Arkansas, Mississippi, North Carolina, Texas (Adm1). Bell, Blount, Cabell, Cumberland, Hawkins, Knox, Sevier, Smyth, Washington, Wise (Adm2).</t>
  </si>
  <si>
    <t>2002-0724-USA</t>
  </si>
  <si>
    <t>Lili</t>
  </si>
  <si>
    <t>St. Tammany, Terrebonne, Lafayette, Acadia, Evangeline, Rapides districts (Louisiana province)</t>
  </si>
  <si>
    <t>29791;29810;29819;29830;29842;29845</t>
  </si>
  <si>
    <t>Acadia, Evangeline, Lafayette, Rapides, St. Tammany, Terrebonne (Adm2).</t>
  </si>
  <si>
    <t>2002-0017-USA</t>
  </si>
  <si>
    <t>0017</t>
  </si>
  <si>
    <t>Alabama, Louisiana, Virginia, North Carolina, South Carolina, Mississipi, Georgia, Pensylvania,</t>
  </si>
  <si>
    <t>3214;3224;3232;3238;3247;3252;3254;3260</t>
  </si>
  <si>
    <t>Alabama, Georgia, Louisiana, Mississippi, North Carolina, Pennsylvania, South Carolina, Virginia (Adm1).</t>
  </si>
  <si>
    <t>2002-0128-USA</t>
  </si>
  <si>
    <t>Oklahoma, Missouri, Wisconsin, Michigan, Arkansas provinces</t>
  </si>
  <si>
    <t>3217;3236;3239;3250;3263</t>
  </si>
  <si>
    <t>Arkansas, Michigan, Missouri, Oklahoma, Wisconsin (Adm1).</t>
  </si>
  <si>
    <t>2002-0283-USA</t>
  </si>
  <si>
    <t>0283</t>
  </si>
  <si>
    <t>Happy town (Randall, Swisher districts, Texas province)</t>
  </si>
  <si>
    <t>31390;31418</t>
  </si>
  <si>
    <t>Randall, Swisher (Adm2).</t>
  </si>
  <si>
    <t>2002-0287-USA</t>
  </si>
  <si>
    <t>0287</t>
  </si>
  <si>
    <t>Wayne, Jefferson districts (Illinois province)</t>
  </si>
  <si>
    <t>29313;29368</t>
  </si>
  <si>
    <t>Jefferson, Wayne (Adm2).</t>
  </si>
  <si>
    <t>2002-0310-USA</t>
  </si>
  <si>
    <t>0310</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</si>
  <si>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</si>
  <si>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29128;29275;29285;29316;29342;29348;29354;29363;29436;29568;29684;29698;29701;29717;29724;29752;29762;29787;29875;29878;29879;29880;29893;30087;30136;30169;30206;30506;30519;30795;30922;30923;30930;30939;30952;30958;30963;30981;31114;31144;31152;31179;31516;31551;31586;31596;31610;31693;154744</t>
  </si>
  <si>
    <t>Allegany, Allegheny, Armstrong, Atchison, Bedford, Bollinger, Bond, Breckinridge, Butler, Calvert, Campbell, Carter, Cecil, Charles, Chickasaw, Clay, Columbia, Crittenden, Dorchester, Edmonson, Erie, Gordon, Greensville, Hardin, Henry, Hopkins, Howell, Indiana, Johnson, Lake, Lebanon, Marshall, Meade, Mercer, Moultrie, Nottoway, Ohio, Perry, Pontotoc, Pope, Prince George, Rutherford, Saline, Shenandoah, Stark, Union, Venango, Webster, Wicomico (Adm2).</t>
  </si>
  <si>
    <t>2002-0569-USA</t>
  </si>
  <si>
    <t>0569</t>
  </si>
  <si>
    <t>Ladysmith city (Rusk district, Wisconsin province)</t>
  </si>
  <si>
    <t>31778</t>
  </si>
  <si>
    <t>Rusk (Adm2).</t>
  </si>
  <si>
    <t>2002-0700-USA</t>
  </si>
  <si>
    <t>0700</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</si>
  <si>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</si>
  <si>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28700;28712;28713;28719;28724;28727;28728;28753;28754;28757;28807;28808;28836;29065;29066;29092;29098;29106;29176;29379;29672;30122;30130;30131;30158;30724;30739;30765;30781;30782;30788;30793;30799;30800;30963;31027;31105;31106;31113;31120;31122;31167;31169;31187;31188</t>
  </si>
  <si>
    <t>Allen, Anderson, Appling, Athens, Atkinson, Bedford, Blackford, Carroll, Cherokee, Coffee, Crittenden, Cross, Cullman, Cumberland, Dale, Dawson, Defiance, Fayette, Henry, Jefferson, Lamar, Logan, Lowndes, McCormick, Mercer, Mississippi, Montgomery, Morgan, Noxubee, Oktibbeha, Ottawa, Paulding, Pickens, Putnam, Seneca, Sumner, Tipton, Tuscaloosa, Union, Van Wert, Walker, Winston (Adm2).</t>
  </si>
  <si>
    <t>2002-0751-USA</t>
  </si>
  <si>
    <t>0751</t>
  </si>
  <si>
    <t>Washington DC (District of Columbia district, District of Columbia province), North Carolina, South Carolina, Virginia, New York, Pennsylvania, Kentucky, New Jersey, Maryland, Missouri, Tennesse provinces</t>
  </si>
  <si>
    <t>3231;3234;3239;3244;3246;3247;3252;3254;3256;3260</t>
  </si>
  <si>
    <t>28997</t>
  </si>
  <si>
    <t>Kentucky, Maryland, Missouri, New Jersey, New York, North Carolina, Pennsylvania, South Carolina, Tennessee, Virginia (Adm1). District of Columbia (Adm2).</t>
  </si>
  <si>
    <t>2002-0802-USA</t>
  </si>
  <si>
    <t>0802</t>
  </si>
  <si>
    <t>Oklahoma, Massachusetts, New York, Arkansas, Missouri, New Mexico, Louisiana, Texas provinces</t>
  </si>
  <si>
    <t>3217;3232;3235;3239;3245;3246;3250;3257</t>
  </si>
  <si>
    <t>Arkansas, Louisiana, Massachusetts, Missouri, New Mexico, New York, Oklahoma, Texas (Adm1).</t>
  </si>
  <si>
    <t>2002-0183-USA</t>
  </si>
  <si>
    <t>0183</t>
  </si>
  <si>
    <t>Tennessee, Virginia, Kentucky, Ohio, Arkansas, Oklahoma, Texas provinces</t>
  </si>
  <si>
    <t>Cumberland, Kentucky and Licking, Tygart and Triplett Creeks, Cumberland, Powell, Clinch, north fork of Holston, Powell, North Fork, Ohio, Buffalo and Black rivers, Poteau, Trinity</t>
  </si>
  <si>
    <t>3217;3231;3249;3250;3256;3257;3260</t>
  </si>
  <si>
    <t>Arkansas, Kentucky, Ohio, Oklahoma, Tennessee, Texas, Virginia (Adm1).</t>
  </si>
  <si>
    <t>2002-0266-USA</t>
  </si>
  <si>
    <t>Pike district (Kentucky province), Virginia province</t>
  </si>
  <si>
    <t>Tug Fork of the Big Sandy River, Knox Creek</t>
  </si>
  <si>
    <t>29768</t>
  </si>
  <si>
    <t>Virginia (Adm1). Pike (Adm2).</t>
  </si>
  <si>
    <t>2002-0411-USA</t>
  </si>
  <si>
    <t>0411</t>
  </si>
  <si>
    <t>Comal, Guadalupe, Bandera, Uvalde, McMullen, Taylor districts (Texas province)</t>
  </si>
  <si>
    <t>San Antonio, Medina, San Marcos, Sabinal, Frio, Pedernales, Nueces, Guadalupe, Blanco, Atascosa</t>
  </si>
  <si>
    <t>31209;31245;31293;31361;31420;31431</t>
  </si>
  <si>
    <t>Bandera, Comal, Guadalupe, McMullen, Taylor, Uvalde (Adm2).</t>
  </si>
  <si>
    <t>2002-0600-USA</t>
  </si>
  <si>
    <t>0600</t>
  </si>
  <si>
    <t>Georgia province</t>
  </si>
  <si>
    <t>3224</t>
  </si>
  <si>
    <t>Georgia (Adm1).</t>
  </si>
  <si>
    <t>2002-0652-USA</t>
  </si>
  <si>
    <t>Isidore</t>
  </si>
  <si>
    <t>Louisiane, Mississippi, Alabama, Tennessee provinces</t>
  </si>
  <si>
    <t>3214;3232;3238;3256</t>
  </si>
  <si>
    <t>Alabama, Louisiana, Mississippi, Tennessee (Adm1).</t>
  </si>
  <si>
    <t>2002-0355-USA</t>
  </si>
  <si>
    <t>0355</t>
  </si>
  <si>
    <t>Arizona province</t>
  </si>
  <si>
    <t>3216</t>
  </si>
  <si>
    <t>Arizona (Adm1).</t>
  </si>
  <si>
    <t>2002-0092-USA</t>
  </si>
  <si>
    <t>0092</t>
  </si>
  <si>
    <t>Fallbrok area (San Diego district, Californie province)</t>
  </si>
  <si>
    <t>28901</t>
  </si>
  <si>
    <t>San Diego (Adm2).</t>
  </si>
  <si>
    <t>2002-0184-USA</t>
  </si>
  <si>
    <t>0184</t>
  </si>
  <si>
    <t>Lincoln district (New Mexico province)</t>
  </si>
  <si>
    <t>30486</t>
  </si>
  <si>
    <t>Lincoln (Adm2).</t>
  </si>
  <si>
    <t>2002-0331-USA</t>
  </si>
  <si>
    <t>0331</t>
  </si>
  <si>
    <t>Georgia, Alaska provinces</t>
  </si>
  <si>
    <t>3215;3224</t>
  </si>
  <si>
    <t>Alaska, Georgia (Adm1).</t>
  </si>
  <si>
    <t>2002-0351-USA</t>
  </si>
  <si>
    <t>Colorado province</t>
  </si>
  <si>
    <t>3219</t>
  </si>
  <si>
    <t>Colorado (Adm1).</t>
  </si>
  <si>
    <t>2002-0379-USA</t>
  </si>
  <si>
    <t>0379</t>
  </si>
  <si>
    <t>2002-0618-USA</t>
  </si>
  <si>
    <t>0618</t>
  </si>
  <si>
    <t>Claremont, Glendora, La Verne areas (Los Angeles district, California province))</t>
  </si>
  <si>
    <t>28883</t>
  </si>
  <si>
    <t>Los Angeles (Adm2).</t>
  </si>
  <si>
    <t>2002-0625-USA</t>
  </si>
  <si>
    <t>0625</t>
  </si>
  <si>
    <t>Oregon province</t>
  </si>
  <si>
    <t>3251</t>
  </si>
  <si>
    <t>Oregon (Adm1).</t>
  </si>
  <si>
    <t>2002-0312-USA</t>
  </si>
  <si>
    <t>0312</t>
  </si>
  <si>
    <t>Land fire (Brush, Bush, Pasture)</t>
  </si>
  <si>
    <t>2002-0502-USA</t>
  </si>
  <si>
    <t>Alabama, district of Columbia, Illinois, Indiana, Louisiana, Mississippi, Texas, Florida, Massachusetts, Missouri, New York City, Ohio, Georgia, Kentucky, Maryland, Michigan, Nebraska, South Dacota, Tennessee, Texas, Virginia, Wisconsin</t>
  </si>
  <si>
    <t>2002-0858-USA</t>
  </si>
  <si>
    <t>Alabama, California, Connecticut, Georgia, Hawaii, Illinois, Kansas, Maine, Massachusetts, Michigan, Missouri, Mississippi, Minnesota, New Jersey, New Mexico, North Carolina, New York, Pennsylvannia, Rhode Island, Texas, Utah, Virginia, Wisconsin</t>
  </si>
  <si>
    <t>2002-9853-USA</t>
  </si>
  <si>
    <t>9853</t>
  </si>
  <si>
    <t>3227;3228;3229;3230;3236;3237;3239;3241;3248;3249;3263</t>
  </si>
  <si>
    <t>Illinois, Indiana, Iowa, Kansas, Michigan, Minnesota, Missouri, Nebraska, North Dakota, Ohio, Wisconsin (Adm1).</t>
  </si>
  <si>
    <t>2002-0119-USA</t>
  </si>
  <si>
    <t>0119</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</si>
  <si>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</si>
  <si>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3228;3230;3239;3246;3249</t>
  </si>
  <si>
    <t>30809;30811;30812;30813;30815;30816;30820;30821;30823;30826;30827;30829;30830;30831;30832;30833;30834;30835;30836;30837;30840;30843;30844;30845;30848;30849;30851;30854;30859;30860;30862;30864;30866;30867;30870;30872;30873;30876;30877;30878;30879;30881;30882;30883;30884</t>
  </si>
  <si>
    <t>Indiana, Kansas, Missouri, New York, Ohio (Adm1). Alfalfa, Beaver, Beckham, Blaine, Caddo, Canadian, Cimarron, Cleveland, Comanche, Creek, Custer, Dewey, Ellis, Garfield, Garvin, Grady, Grant, Greer, Harmon, Harper, Jackson, Kay, Kingfisher, Kiowa, Lincoln, Logan, Major, McClain, Noble, Nowata, Oklahoma, Osage, Pawnee, Payne, Pottawatomie, Roger Mills, Rogers, Stephens, Texas, Tillman, Tulsa, Washington, Washita, Woods, Woodward (Adm2).</t>
  </si>
  <si>
    <t>2002-0793-USA</t>
  </si>
  <si>
    <t>0793</t>
  </si>
  <si>
    <t>Marin, Los Angeles, Santa Cruz districts (California province), Oregon, Nevada provinces</t>
  </si>
  <si>
    <t>3242;3251</t>
  </si>
  <si>
    <t>28883;28885;28908</t>
  </si>
  <si>
    <t>Nevada, Oregon (Adm1). Los Angeles, Marin, Santa Cruz (Adm2).</t>
  </si>
  <si>
    <t>2002-0880-USA</t>
  </si>
  <si>
    <t>0880</t>
  </si>
  <si>
    <t>Fulton, Tioga, Broome, Oswego, Delaware, Dutchess districts (New York province), Wayne district (Pennsylvania province), Connecticut, Massachusetts, Michigan, New Hampshire, New Jersey, Ohio, Wisconsin provinces</t>
  </si>
  <si>
    <t>3220;3235;3236;3243;3244;3249;3263</t>
  </si>
  <si>
    <t>30508;30517;30518;30522;30542;30558;30984</t>
  </si>
  <si>
    <t>Connecticut, Massachusetts, Michigan, New Hampshire, New Jersey, Ohio, Wisconsin (Adm1). Broome, Delaware, Dutchess, Fulton, Oswego, Tioga, Wayne (Adm2).</t>
  </si>
  <si>
    <t>2003-0139-USA</t>
  </si>
  <si>
    <t>0139</t>
  </si>
  <si>
    <t>Mitchell, Worth districts (Georgia province), Jackson district (Alabama province) North Carolina, South Carolina, Tennessee provinces</t>
  </si>
  <si>
    <t>3247;3254;3256</t>
  </si>
  <si>
    <t>28726;29165;29223</t>
  </si>
  <si>
    <t>North Carolina, South Carolina, Tennessee (Adm1). Jackson, Mitchell, Worth (Adm2).</t>
  </si>
  <si>
    <t>2003-0147-USA</t>
  </si>
  <si>
    <t>0147</t>
  </si>
  <si>
    <t>Denver, Boulder districts (Colorado province), Wyoming province</t>
  </si>
  <si>
    <t>28938;154739</t>
  </si>
  <si>
    <t>Wyoming (Adm1). Boulder, Denver (Adm2).</t>
  </si>
  <si>
    <t>2003-0085-USA</t>
  </si>
  <si>
    <t>0085</t>
  </si>
  <si>
    <t>Delaware, Kentucky, Massachusetts, Maryland, North Carolina, New Hampshire, New Jersey, New York, District of Columbia, Ohio, Pennsylvania, Rhode Island, Tennessee, Virginia, Vermont, West Virginia, Illinois, Missouri, Iowa, Nebraska, Connecticut provinces</t>
  </si>
  <si>
    <t>3220;3221;3222;3227;3229;3231;3234;3235;3239;3241;3243;3244;3246;3247;3249;3252;3253;3256;3259;3260;3262</t>
  </si>
  <si>
    <t>Connecticut, Delaware, District of Columbia, Illinois, Iowa, Kentucky, Maryland, Massachusetts, Missouri, Nebraska, New Hampshire, New Jersey, New York, North Carolina, Ohio, Pennsylvania, Rhode Island, Tennessee, Vermont, Virginia, West Virginia (Adm1).</t>
  </si>
  <si>
    <t>2003-0487-CAN</t>
  </si>
  <si>
    <t>0487</t>
  </si>
  <si>
    <t>Juan</t>
  </si>
  <si>
    <t>Nova Scotia, Prince Edward Island provinces</t>
  </si>
  <si>
    <t>831;834</t>
  </si>
  <si>
    <t>Nova Scotia / Nouvelle-écosse, Prince Edward Island / Île-du-Prince-Edouard (Adm1).</t>
  </si>
  <si>
    <t>2003-0417-CAN</t>
  </si>
  <si>
    <t>0417</t>
  </si>
  <si>
    <t>Bois-Franc municipality (La Vallée-de-la-Gatineau district, Quebec province)</t>
  </si>
  <si>
    <t>Nicolet, Riviere des Pins</t>
  </si>
  <si>
    <t>12737</t>
  </si>
  <si>
    <t>La Vall??e-de-la-Gatineau (Adm2).</t>
  </si>
  <si>
    <t>2003-0231-CAN</t>
  </si>
  <si>
    <t>0231</t>
  </si>
  <si>
    <t>Colchester, Cumberland districts (Nova Scotia/Nouvelle Ecosse province)</t>
  </si>
  <si>
    <t>Heavy rains, snow melt</t>
  </si>
  <si>
    <t>Philip, Black, Little LaHave, Salmon, Corner Brook</t>
  </si>
  <si>
    <t>12623;12624</t>
  </si>
  <si>
    <t>Colchester, Cumberland (Adm2).</t>
  </si>
  <si>
    <t>2003-0511-CAN</t>
  </si>
  <si>
    <t>0511</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</si>
  <si>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</si>
  <si>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</si>
  <si>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12541;12550;12563</t>
  </si>
  <si>
    <t>Capital, Fraser Valley, Squamish-Lillooet (Adm2).</t>
  </si>
  <si>
    <t>2003-0468-CAN</t>
  </si>
  <si>
    <t>0468</t>
  </si>
  <si>
    <t>Isabel</t>
  </si>
  <si>
    <t>Ontario province</t>
  </si>
  <si>
    <t>833</t>
  </si>
  <si>
    <t>Ontario (Adm1).</t>
  </si>
  <si>
    <t>2003-0369-CAN</t>
  </si>
  <si>
    <t>0369</t>
  </si>
  <si>
    <t>British Columbia, Alberta, Saskatchewan, Manitoba provinces</t>
  </si>
  <si>
    <t>825;826;827;836</t>
  </si>
  <si>
    <t>Alberta, British Columbia / Colombie-Britannique, Manitoba, Saskatchewan (Adm1).</t>
  </si>
  <si>
    <t>2004-0346-CAN</t>
  </si>
  <si>
    <t>2004</t>
  </si>
  <si>
    <t>0346</t>
  </si>
  <si>
    <t>Ontario, Alberta, Quebec provinces</t>
  </si>
  <si>
    <t>Rain</t>
  </si>
  <si>
    <t>825;833;835</t>
  </si>
  <si>
    <t>Alberta, Ontario, Quebec / Québec (Adm1).</t>
  </si>
  <si>
    <t>2004-0031-CAN</t>
  </si>
  <si>
    <t>0031</t>
  </si>
  <si>
    <t>2004-0074-CAN</t>
  </si>
  <si>
    <t>0074</t>
  </si>
  <si>
    <t>Nova Scotia, New Brunswick, Prince Edward Island provinces</t>
  </si>
  <si>
    <t>828;831;834</t>
  </si>
  <si>
    <t>New Brunswick / Nouveau-Brunswick, Nova Scotia / Nouvelle-écosse, Prince Edward Island / Île-du-Prince-Edouard (Adm1).</t>
  </si>
  <si>
    <t>2004-0146-CAN</t>
  </si>
  <si>
    <t>0146</t>
  </si>
  <si>
    <t>Winnipeg (Division No. 11 district, Manitoba province) Selkirk, St Clements, Breezy Point (Division No.13 district, Manitoba province)</t>
  </si>
  <si>
    <t>Rain and snowmelt</t>
  </si>
  <si>
    <t>Red river</t>
  </si>
  <si>
    <t>12577;12579</t>
  </si>
  <si>
    <t>Division No. 11, Division No. 13 (Adm2).</t>
  </si>
  <si>
    <t>2003-0595-USA</t>
  </si>
  <si>
    <t>0595</t>
  </si>
  <si>
    <t>West Virginia, Tennessee, Kentucky, Pennsylvania, North Carolina, Virginia provinces</t>
  </si>
  <si>
    <t>3231;3247;3252;3256;3260;3262</t>
  </si>
  <si>
    <t>Kentucky, North Carolina, Pennsylvania, Tennessee, Virginia, West Virginia (Adm1).</t>
  </si>
  <si>
    <t>2003-0829-USA</t>
  </si>
  <si>
    <t>0829</t>
  </si>
  <si>
    <t>Alabama, Illinois, Indiana, Louisiana, Michigan, Missouri, Mississippi, New York, Tennessee,Texas, Pennsylvania, Nebraska, Wisconsin provinces</t>
  </si>
  <si>
    <t>3214;3227;3228;3232;3236;3238;3239;3241;3246;3252;3256;3257;3263</t>
  </si>
  <si>
    <t>Alabama, Illinois, Indiana, Louisiana, Michigan, Mississippi, Missouri, Nebraska, New York, Pennsylvania, Tennessee, Texas, Wisconsin (Adm1).</t>
  </si>
  <si>
    <t>2003-0238-PRI</t>
  </si>
  <si>
    <t>0238</t>
  </si>
  <si>
    <t>Las Piedras, Rio Grande, Naguabo, Luquillo, Humacao, Juncos, Fajardo districts (Humacao province), Penuelas, Guanica districts (Mayaguez province)</t>
  </si>
  <si>
    <t>Gurabo, Fajardo</t>
  </si>
  <si>
    <t>40064;40066;40067;40068;40070;40071;40072;40076;40081</t>
  </si>
  <si>
    <t>Fajardo Municipio, Guanica Municipio, Humacao Municipio, Juncos Municipio, Las Piedras Municipio, Luquillo Municipio, Naguabo Municipio, Penuelas Municipio, Rio Grande Municipio (Adm2).</t>
  </si>
  <si>
    <t>2003-0334-USA</t>
  </si>
  <si>
    <t>0334</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</si>
  <si>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</si>
  <si>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</si>
  <si>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29305;29326;29338;29358;29373;29375;29376;29380;29382;29383;29385;29390;29408;29409;29414;29426;29453;29454;29464;30721;30725;30738;30773;30774;30800</t>
  </si>
  <si>
    <t>Adams, Allen, Auglaize, Boone, Carroll, Cass, Clay, Darke, Decatur, Hamilton, Howard, Huntington, Jennings, Logan, Mercer, Miami, Shelby, Tippecanoe, Tipton, Van Wert, Wells, Winnebago (Adm2).</t>
  </si>
  <si>
    <t>2003-0599-PRI</t>
  </si>
  <si>
    <t>0599</t>
  </si>
  <si>
    <t>Odette</t>
  </si>
  <si>
    <t>Aguadilla, Arecibo, Bayamon, Guayama, Humacao, Mayaguez, Ponce, San Juan provinces</t>
  </si>
  <si>
    <t>2414;2415;2416;2417;2418;2419;2420;2421</t>
  </si>
  <si>
    <t>Aguadilla, Arecibo, Bayamon, Guayama, Humacao, Mayaguez, Ponce, San Juan (Adm1).</t>
  </si>
  <si>
    <t>2003-0468-USA</t>
  </si>
  <si>
    <t>North Carolina, Maryland, Virginia, West Virginia, Delaware, Pennsylvania, New Jersey, District of Columbia provinces</t>
  </si>
  <si>
    <t>3221;3222;3234;3244;3247;3252;3260;3262</t>
  </si>
  <si>
    <t>Delaware, District of Columbia, Maryland, New Jersey, North Carolina, Pennsylvania, Virginia, West Virginia (Adm1).</t>
  </si>
  <si>
    <t>2003-0782-USA</t>
  </si>
  <si>
    <t>0782</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</si>
  <si>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</si>
  <si>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</si>
  <si>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28692;28731;28739;29000;29080;29095;29097;29108;29124;29131;29193;29826;29838;29842;29843;29845;30101;30102;30108;30135;30152;30658</t>
  </si>
  <si>
    <t>Baldwin, Bay, Bulloch, Clayton, Cobb, DeKalb, Fulton, Gwinnett, Hancock, Harrison, Jackson, Lee, Mobile, Orleans, Pike, St. John the Baptist, St. Tammany, Sumter, Tangipahoa, Terrebonne, Wake, Walthall (Adm2).</t>
  </si>
  <si>
    <t>2003-0741-USA</t>
  </si>
  <si>
    <t>0741</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</si>
  <si>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</si>
  <si>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</si>
  <si>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3214;3220;3221;3223;3224;3234;3235;3243;3244;3246;3247;3252;3253;3254;3256;3259</t>
  </si>
  <si>
    <t>29683;29736;29753;29758;31513;31532;31619;31627;31674;31688;31690;31698;31718</t>
  </si>
  <si>
    <t>Alabama, Connecticut, Delaware, Florida, Georgia, Maryland, Massachusetts, New Hampshire, New Jersey, New York, North Carolina, Pennsylvania, Rhode Island, South Carolina, Tennessee, Vermont (Adm1). Breathitt, Buchanan, Cabell, Dickenson, Kanawha, Leslie, Lincoln, Menifee, Mingo, Morgan, Tazewell, Wayne, Wise (Adm2).</t>
  </si>
  <si>
    <t>2003-0618-USA</t>
  </si>
  <si>
    <t>Pennsylvania, Connecticut, New York, New Jersey, Vermont, Virginia, Massachusetts, Rhode Island provinces</t>
  </si>
  <si>
    <t>3220;3235;3244;3246;3252;3253;3259;3260</t>
  </si>
  <si>
    <t>Connecticut, Massachusetts, New Jersey, New York, Pennsylvania, Rhode Island, Vermont, Virginia (Adm1).</t>
  </si>
  <si>
    <t>2003-0210-USA</t>
  </si>
  <si>
    <t>0210</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</si>
  <si>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</si>
  <si>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28704;28707;28715;28726;28728;28729;28732;28735;28748;28749;28751;28754;28805;28808;28836;28862;28863;28966;29092;29102;29116;29123;29137;29138;29159;29273;29274;29277;29278;29301;29306;29309;29312;29332;29333;29334;29338;29348;29349;29355;29356;29362;29366;29417;29436;29441;29510;29517;29522;29524;29528;29529;29555;29566;29567;29573;29576;29584;29588;29602;29615;29617;29619;29622;29632;29635;29669;29670;29688;29700;29721;29738;29748;29770;29783;29787;30080;30083;30087;30107;30119;30123;30125;30126;30129;30140;30145;30148;30166;30169;30175;30176;30179;30180;30182;30183;30184;30189;30190;30195;30199;30203;30208;30209;30211;30212;30214;30215;30216;30220;30225;30233;30238;30240;30243;30244;30245;30246;30252;30254;30255;30257;30409;30574;30587;30612;30632;30657;30660;30815;30816;30821;30826;30841;30847;30848;30850;30852;30859;30862;30864;30865;30876;30993;30994;31037;31090;31098;31112;31113;31123;31127;31131;31137;31140;31143;31144;31154;31156;31159;31164;31167;31178;31185;31196;31198;31301;31354;31429;31449;154738;154742</t>
  </si>
  <si>
    <t>Abbeville, Adams, Aiken, Alcorn, Alexander, Allen, Anderson, Barton, Benton, Bertie, Bollinger, Brown, Bureau, Butler, Caddo, Calloway, Camden, Canadian, Cannon, Cape Girardeau, Carroll, Cass, Cedar, Cherokee, Chickasaw, Chowan, Christian, Clark, Clay, Cleveland, Colbert, Coweta, Craighead, Crawford, Creek, Cross, Dade, Dallas, Davidson, Daviess, DeKalb, Douglas, Dunklin, Dyer, Elbert, Franklin, Fulton, Gibson, Greene, Greenwood, Hamilton, Hancock, Hardin, Harrison, Hart, Heard, Henderson, Henry, Hertford, Hickory, Itawamba, Jackson, Jasper, Jefferson, Johnson, Knox, Kosciusko, Labette, Lafayette, Lamar, Lauderdale, Lawrence, Le Flore, Leavenworth, Lee, Lewis, Limestone, Lincoln, Linn, Louisa, Love, Macon, Madison, Mahaska, Marion, Marshall, Mason, Massac, McDonough, McNairy, Mercer, Mississippi, Monroe, Montgomery, Morgan, Neosho, Newton, Noble, Northampton, Oklahoma, Osage, Ottawa, Pemiscot, Perkins, Perry, Pettis, Platte, Polk, Pope, Pulaski, Putnam, Robertson, Saline, Sangamon, Saunders, Schuyler, Scotland, Scott, Shelby, St. Clair, Stephens, Stewart, Sunflower, Talladega, Tazewell, Tippah, Todd, Union, Upshur, Van Buren, Vance, Walker, Warren, Washington, Weakley, Webster, Weld, White, Williamsburg, Williamson, Wood, Woodruff, Woodson, Wyandotte (Adm2).</t>
  </si>
  <si>
    <t>2003-0413-USA</t>
  </si>
  <si>
    <t>0413</t>
  </si>
  <si>
    <t>Palm Beach district (Florida province)</t>
  </si>
  <si>
    <t>29047</t>
  </si>
  <si>
    <t>Palm Beach (Adm2).</t>
  </si>
  <si>
    <t>2003-0780-USA</t>
  </si>
  <si>
    <t>0780</t>
  </si>
  <si>
    <t>Mason, Tazewell, Logan, Will, De Witt districts (Illinois province)</t>
  </si>
  <si>
    <t>29291;29326;29332;29362;29371</t>
  </si>
  <si>
    <t>De Witt, Logan, Mason, Tazewell, Will (Adm2).</t>
  </si>
  <si>
    <t>2003-0623-USA</t>
  </si>
  <si>
    <t>0623</t>
  </si>
  <si>
    <t>Paso Robles, Templeton, Atascadero, Cambria, Morro Bay, Oceano villages (San Luis Obispo district, California province)</t>
  </si>
  <si>
    <t>11:15</t>
  </si>
  <si>
    <t>28904</t>
  </si>
  <si>
    <t>San Luis Obispo (Adm2).</t>
  </si>
  <si>
    <t>2003-0663-USA</t>
  </si>
  <si>
    <t>0663</t>
  </si>
  <si>
    <t>Los Angeles district (California province)</t>
  </si>
  <si>
    <t>2003-0511-USA</t>
  </si>
  <si>
    <t>Snohomish, Mason, Grays Harbor, Jefferson, Clallam, Skagit, Whatcom districts (Washington province)</t>
  </si>
  <si>
    <t>Skokomish, Nooksack, Skagit, Stillaguamish, Sauk, Stehekin</t>
  </si>
  <si>
    <t>31634;31643;31645;31652;31658;31660;31666</t>
  </si>
  <si>
    <t>Clallam, Grays Harbor, Jefferson, Mason, Skagit, Snohomish, Whatcom (Adm2).</t>
  </si>
  <si>
    <t>2003-0756-USA</t>
  </si>
  <si>
    <t>Tennessee, Alabama, Georgia provinces</t>
  </si>
  <si>
    <t>3214;3224;3256</t>
  </si>
  <si>
    <t>Alabama, Georgia, Tennessee (Adm1).</t>
  </si>
  <si>
    <t>2003-0827-USA</t>
  </si>
  <si>
    <t>0827</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</si>
  <si>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</si>
  <si>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3214;3217;3223;3224;3232;3234;3239;3247;3250;3254;3256;3260;3262</t>
  </si>
  <si>
    <t>28883;30143;31256;31278;31300</t>
  </si>
  <si>
    <t>Alabama, Arkansas, Florida, Georgia, Louisiana, Maryland, Missouri, North Carolina, Oklahoma, South Carolina, Tennessee, Virginia, West Virginia (Adm1). Dallas, Fort Bend, Harris, Los Angeles, Smith (Adm2).</t>
  </si>
  <si>
    <t>2003-0299-USA</t>
  </si>
  <si>
    <t>0299</t>
  </si>
  <si>
    <t>Summerhaven area (Pima district, Arizona province), Lemmon mount (Pima district, Arizona province)</t>
  </si>
  <si>
    <t>28785</t>
  </si>
  <si>
    <t>Pima (Adm2).</t>
  </si>
  <si>
    <t>2003-0518-USA</t>
  </si>
  <si>
    <t>0518</t>
  </si>
  <si>
    <t>Fontana, Rancho Cucamonga areas (San Bernardino district, California province)</t>
  </si>
  <si>
    <t>28900</t>
  </si>
  <si>
    <t>San Bernardino (Adm2).</t>
  </si>
  <si>
    <t>2003-0786-USA</t>
  </si>
  <si>
    <t>0786</t>
  </si>
  <si>
    <t>San Bernardino district (California province)</t>
  </si>
  <si>
    <t>2003-0633-USA</t>
  </si>
  <si>
    <t>0633</t>
  </si>
  <si>
    <t>Landslide</t>
  </si>
  <si>
    <t>Mudslide</t>
  </si>
  <si>
    <t>2004-0249-USA</t>
  </si>
  <si>
    <t>0249</t>
  </si>
  <si>
    <t>Lightning/Thunderstorms</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</si>
  <si>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</si>
  <si>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3232</t>
  </si>
  <si>
    <t>28721;28727;28729;28732;28735;28808;28836;28839;29289;29313;29326;29345;29367;29384;29387;29403;29404;29406;29410;29422;29423;29426;29427;29429;29434;29453;29456;29461;29462;29476;29514;29522;29580;29604;29623;29644;29661;29722;29724;29726;29731;29749;29759;29787;29985;30148;30171;30185;30191;30192;30201;30213;30243;30261;30262;30376;30387;30720;30813;30816;30826;30827;30844;30853;30862;30879;30880;31044;31051;31060;31106;31110;31130;31132;31135;31140;31156;31168;31250;31312;31419;31671;31672;31674;31686;31688;31689;31691;31694;31698;31701;31708;31717;31718;31722;31723</t>
  </si>
  <si>
    <t>Louisiana (Adm1). Adams, Bedford, Blaine, Boone, Bradley, Braxton, Brown, Buchanan, Cabell, Canadian, Clark, Clay, Clinton, Cloud, Cottle, Crawford, Creek, Cross, Custer, Daviess, DeKalb, Edmunds, Franklin, Geneva, Giles, Grundy, Hamilton, Hancock, Hardin, Harper, Harrison, Hendricks, Henry, Holt, Hopkins, Houston, Iowa, Jackson, Jefferson, Kanawha, Kingfisher, Knox, Laclede, Lauderdale, Lee, Lewis, Limestone, Lincoln, Logan, Madison, Marion, Marshall, Mason, Mayes, McCracken, Miami, Mingo, Mississippi, Monroe, Moore, Morgan, Muhlenberg, Nevada, Oklahoma, Owen, Perry, Platte, Putnam, Republic, St. Clair, St. Louis, Sumner, Tarrant, Tippah, Tippecanoe, Tulsa, Upshur, Vanderburgh, Wagoner, Warrick, Washington, Wayne, Webster, Wood, Wyoming (Adm2).</t>
  </si>
  <si>
    <t>2004-0348-USA</t>
  </si>
  <si>
    <t>0348</t>
  </si>
  <si>
    <t>Carson City district (Nevada province), Los Angeles district (California province)</t>
  </si>
  <si>
    <t>28883;30424</t>
  </si>
  <si>
    <t>Carson City, Los Angeles (Adm2).</t>
  </si>
  <si>
    <t>2004-0462-USA</t>
  </si>
  <si>
    <t>0462</t>
  </si>
  <si>
    <t>Ivan</t>
  </si>
  <si>
    <t>Alabama, Louisiana, Mississippi, Florida, Pennsylvania, Maryland, New Jersey, Ohio, North Carolina, West Virginia, Georgia, Tennessee provinces</t>
  </si>
  <si>
    <t>3214;3223;3224;3232;3234;3238;3244;3247;3249;3252;3256;3262</t>
  </si>
  <si>
    <t>Alabama, Florida, Georgia, Louisiana, Maryland, Mississippi, New Jersey, North Carolina, Ohio, Pennsylvania, Tennessee, West Virginia (Adm1).</t>
  </si>
  <si>
    <t>2004-0245-USA</t>
  </si>
  <si>
    <t>0245</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</si>
  <si>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</si>
  <si>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3247;3254</t>
  </si>
  <si>
    <t>29341;29355;29357;29384;29396;29462;29467;29470;29472;29487;29491;29504;29512;29519;29523;29530;29542;29551;29557;29608;29619;29644;29654;29703;29704;29721;29722;29744;29747;29769;29770;29892;29982;29985;29987;30198;30204;30218;30219;30220;30259;30332;30344;30349;30352;30361;30362;30364;30365;30373;30379;30386;30396;30397;30407;30416;30421;30423;30508;30517;30724;30727;30743;30783;30790;30815;30859;30864;30866;30878;30940;31141;31376;31420;31432;31565;31566;31568;31609;31670;31734;31736;31759</t>
  </si>
  <si>
    <t>North Carolina, South Carolina (Adm1). Adair, Adams, Appanoose, Athens, Benton, Berkeley, Broome, Brown, Caddo, Cass, Clark, Clay, Columbia, Crawford, Custer, Dallas, Dane, Delaware, Estill, Fayette, Fillmore, Floyd, Franklin, Furnas, Gage, Gentry, Grundy, Harlan, Hawkins, Henderson, Henry, Holt, Humboldt, Jackson, Jefferson, Jones, Lancaster, Lee, Linn, Livingston, Loudoun, Macon, Magoffin, Manitowoc, Marshall, Martin, Morgan, Noble, Nolan, Nuckolls, Osage, Otoe, Pawnee, Perry, Pocahontas, Powell, Pulaski, Republic, Ross, Saline, Sangamon, Sanilac, Scott, Shawnee, St. Clair, Story, Taylor, Thayer, Tillman, Tuscola, Val Verde, Warren, Washington, Webster, York (Adm2).</t>
  </si>
  <si>
    <t>2004-0031-USA</t>
  </si>
  <si>
    <t>North Carolina, South Carolina, Iowa, Missouri, Ohio, Maryland, Nebraska, New York, Virginia, Minnesota, Indiana, Illinois, Pennsylvania, Oklahoma, Georgia, Kansas, New Jersey, West Virginia, Maine provinces</t>
  </si>
  <si>
    <t>3224;3227;3228;3229;3230;3233;3234;3237;3239;3241;3244;3246;3247;3249;3250;3252;3254;3260;3262</t>
  </si>
  <si>
    <t>Georgia, Illinois, Indiana, Iowa, Kansas, Maine, Maryland, Minnesota, Missouri, Nebraska, New Jersey, New York, North Carolina, Ohio, Oklahoma, Pennsylvania, South Carolina, Virginia, West Virginia (Adm1).</t>
  </si>
  <si>
    <t>2004-0121-USA</t>
  </si>
  <si>
    <t>0121</t>
  </si>
  <si>
    <t>Arkansas, Louisiana, North Carolina, Oklahoma, South Carolina, Texas, Virginia, Kansas, Missouri, Mississippi provinces</t>
  </si>
  <si>
    <t>3217;3230;3232;3238;3239;3247;3250;3254;3257;3260</t>
  </si>
  <si>
    <t>Arkansas, Kansas, Louisiana, Mississippi, Missouri, North Carolina, Oklahoma, South Carolina, Texas, Virginia (Adm1).</t>
  </si>
  <si>
    <t>2004-0731-USA</t>
  </si>
  <si>
    <t>0731</t>
  </si>
  <si>
    <t>Arkansas, Illinois, Iowa, Indiana, Missouri, Oklahoma provinces</t>
  </si>
  <si>
    <t>3217;3227;3228;3229;3239;3250</t>
  </si>
  <si>
    <t>Arkansas, Illinois, Indiana, Iowa, Missouri, Oklahoma (Adm1).</t>
  </si>
  <si>
    <t>2004-0473-PRI</t>
  </si>
  <si>
    <t>Jeanne</t>
  </si>
  <si>
    <t>2004-0455-USA</t>
  </si>
  <si>
    <t>0455</t>
  </si>
  <si>
    <t>Frances</t>
  </si>
  <si>
    <t>Martin, Palm Beach districts (Florida province), North Carolina, South Carolina, Ohio provinces</t>
  </si>
  <si>
    <t>3247;3249;3254</t>
  </si>
  <si>
    <t>29039;29047</t>
  </si>
  <si>
    <t>North Carolina, Ohio, South Carolina (Adm1). Martin, Palm Beach (Adm2).</t>
  </si>
  <si>
    <t>2004-0196-USA</t>
  </si>
  <si>
    <t>0196</t>
  </si>
  <si>
    <t>Los Angeles, Riverside, San Diego, Santa Barbara districts (California province)</t>
  </si>
  <si>
    <t>28883;28897;28901;28906</t>
  </si>
  <si>
    <t>Los Angeles, Riverside, San Diego, Santa Barbara (Adm2).</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</si>
  <si>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</si>
  <si>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</si>
  <si>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3238</t>
  </si>
  <si>
    <t>28941;29131;29849;31032;31214;31293;31365</t>
  </si>
  <si>
    <t>Mississippi (Adm1). Bexar, Eagle, Guadalupe, Gwinnett, Milam, Richland, Washington (Adm2).</t>
  </si>
  <si>
    <t>2004-0448-USA</t>
  </si>
  <si>
    <t>0448</t>
  </si>
  <si>
    <t>Gaston</t>
  </si>
  <si>
    <t>Richmond, Lynchburg, Chesterfield districts (Virginia province), South Carolina, North Carolina provinces</t>
  </si>
  <si>
    <t>31523;31571;31601</t>
  </si>
  <si>
    <t>North Carolina, South Carolina (Adm1). Chesterfield, Lynchburg, Richmond (Adm2).</t>
  </si>
  <si>
    <t>2004-0415-USA</t>
  </si>
  <si>
    <t>0415</t>
  </si>
  <si>
    <t>Charley</t>
  </si>
  <si>
    <t>Bay, Calhoun, Escambia, Franklin, Gadsden, Gulf, Holmes, Jackson, Jefferson, Leon, Liberty, Madison, Okaloosa, Santa Rosa, Taylor, Wakulla, Walton, Washington districts (Florida province), South Carolina, North Carolina provinces</t>
  </si>
  <si>
    <t>29000;29004;29013;29015;29016;29019;29026;29028;29029;29033;29035;29036;29043;29052;29059;29062;29063;29064</t>
  </si>
  <si>
    <t>North Carolina, South Carolina (Adm1). Bay, Calhoun, Escambia, Franklin, Gadsden, Gulf, Holmes, Jackson, Jefferson, Leon, Liberty, Madison, Okaloosa, Santa Rosa, Taylor, Wakulla, Walton, Washington (Adm2).</t>
  </si>
  <si>
    <t>2004-0231-PRI</t>
  </si>
  <si>
    <t>San Juan province</t>
  </si>
  <si>
    <t>2421</t>
  </si>
  <si>
    <t>San Juan (Adm1).</t>
  </si>
  <si>
    <t>2004-0455-PRI</t>
  </si>
  <si>
    <t>2004-0502-USA</t>
  </si>
  <si>
    <t>Caroline district (Virginia province)</t>
  </si>
  <si>
    <t>31517</t>
  </si>
  <si>
    <t>Caroline (Adm2).</t>
  </si>
  <si>
    <t>2004-0146-USA</t>
  </si>
  <si>
    <t>Antigo area (Langlade district, Wisconsin province), Pembina, Walsh districts (North Dakota province)</t>
  </si>
  <si>
    <t>Melting sow, heavy rain</t>
  </si>
  <si>
    <t>30700;30716;31757</t>
  </si>
  <si>
    <t>Langlade, Pembina, Walsh (Adm2).</t>
  </si>
  <si>
    <t>2004-0248-USA</t>
  </si>
  <si>
    <t>0248</t>
  </si>
  <si>
    <t>Wayne, Oakland, Macomb, Livingston districts (Michigan province)</t>
  </si>
  <si>
    <t>29955;29958;29971;29990</t>
  </si>
  <si>
    <t>Livingston, Macomb, Oakland, Wayne (Adm2).</t>
  </si>
  <si>
    <t>2004-0675-USA</t>
  </si>
  <si>
    <t>0675</t>
  </si>
  <si>
    <t>Pennsylvania, New Jersey provinces</t>
  </si>
  <si>
    <t>3244;3252</t>
  </si>
  <si>
    <t>New Jersey, Pennsylvania (Adm1).</t>
  </si>
  <si>
    <t>2004-0473-USA</t>
  </si>
  <si>
    <t>2004-0740-USA</t>
  </si>
  <si>
    <t>0740</t>
  </si>
  <si>
    <t>Connecticut, Delaware, Maryland, Maine, New Hampshire, New Jersey, New York, Pennsylvania, Rhode Island, Vermont provinces</t>
  </si>
  <si>
    <t>3220;3221;3233;3234;3243;3244;3246;3252;3253;3259</t>
  </si>
  <si>
    <t>Connecticut, Delaware, Maine, Maryland, New Hampshire, New Jersey, New York, Pennsylvania, Rhode Island, Vermont (Adm1).</t>
  </si>
  <si>
    <t>2004-0446-USA</t>
  </si>
  <si>
    <t>0446</t>
  </si>
  <si>
    <t>Shasta Lake area (Shasta districts, California province)</t>
  </si>
  <si>
    <t>28909</t>
  </si>
  <si>
    <t>Shasta (Adm2).</t>
  </si>
  <si>
    <t>2005-0103-USA</t>
  </si>
  <si>
    <t>2005</t>
  </si>
  <si>
    <t>0103</t>
  </si>
  <si>
    <t>2005-0015-USA</t>
  </si>
  <si>
    <t>0015</t>
  </si>
  <si>
    <t>La Conchita area (Ventura district, California province), Malibu area (Los Angeles district, California province), Sacramento district (California province), Arizona, Ohio provinces</t>
  </si>
  <si>
    <t>Heavy rain, heavy snow</t>
  </si>
  <si>
    <t>Venturea, Ohio rivers</t>
  </si>
  <si>
    <t>3216;3249</t>
  </si>
  <si>
    <t>28883;28898;28920</t>
  </si>
  <si>
    <t>Arizona, Ohio (Adm1). Los Angeles, Sacramento, Ventura (Adm2).</t>
  </si>
  <si>
    <t>2005-0029-USA</t>
  </si>
  <si>
    <t>0029</t>
  </si>
  <si>
    <t>New York, Connecticut, Wisconsin, Ohio, Maryland, Massachusetts, Iowa provinces</t>
  </si>
  <si>
    <t>3220;3229;3234;3235;3246;3249;3263</t>
  </si>
  <si>
    <t>Connecticut, Iowa, Maryland, Massachusetts, New York, Ohio, Wisconsin (Adm1).</t>
  </si>
  <si>
    <t>2005-0219-USA</t>
  </si>
  <si>
    <t>0219</t>
  </si>
  <si>
    <t>Rankin district (Mississippi province)</t>
  </si>
  <si>
    <t>30139</t>
  </si>
  <si>
    <t>Rankin (Adm2).</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</si>
  <si>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</si>
  <si>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</si>
  <si>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</si>
  <si>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</si>
  <si>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3233;3244;3246;3252</t>
  </si>
  <si>
    <t>Maine, New Jersey, New York, Pennsylvania (Adm1).</t>
  </si>
  <si>
    <t>2005-0591-CAN</t>
  </si>
  <si>
    <t>0591</t>
  </si>
  <si>
    <t>Stephenville &amp; Kippens towns (Division No. 4 district, Newfoundland and Labrador province), Reidville town (Division No. 5 district, Newfoundland and Labrador province)</t>
  </si>
  <si>
    <t>Blanche Brook</t>
  </si>
  <si>
    <t>12611;12612</t>
  </si>
  <si>
    <t>Division No. 4, Division No. 5 (Adm2).</t>
  </si>
  <si>
    <t>2005-0728-CAN</t>
  </si>
  <si>
    <t>0728</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</si>
  <si>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</si>
  <si>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</si>
  <si>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12521;12522;12524;12525;12527</t>
  </si>
  <si>
    <t>Division No. 2, Division No. 3, Division No. 5, Division No. 6, Division No. 8 (Adm2).</t>
  </si>
  <si>
    <t>2005-0383-CAN</t>
  </si>
  <si>
    <t>0383</t>
  </si>
  <si>
    <t>Québec province</t>
  </si>
  <si>
    <t>2005-0460-CAN</t>
  </si>
  <si>
    <t>Dry wetaher and heat wave</t>
  </si>
  <si>
    <t>2005-0553-CAN</t>
  </si>
  <si>
    <t>0553</t>
  </si>
  <si>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</si>
  <si>
    <t>12695;12699;12703;12706;12707;12710;12713;12730;12735;12738;12740;12742;12746;12747;12748;12749;12752;12757;12759;12770;12783;12784;12792</t>
  </si>
  <si>
    <t>Acton, Beauharnois-Salaberry, Brome-Missisquoi, Coaticook, La Haute-Yamaska, La Vallée-du-Richelieu, Le Granit, Le Haut-Richelieu, Le Haut-Saint-Francois, Le Haut-Saint-Laurent, Le Val-Saint-Francois, Les Jardins-de-Napierville, Les Maskoutains, Les Sources, Longueuil, Marguerite-D'Youville, Memphremagog, Montreal, Pierre-De Saurel, Roussillon, Rouville, Sherbrooke, Vaudreuil-Soulanges (Adm2).</t>
  </si>
  <si>
    <t>2006-0224-CAN</t>
  </si>
  <si>
    <t>2006</t>
  </si>
  <si>
    <t>0224</t>
  </si>
  <si>
    <t>Fort Albany city (Cochrane district, Ontario province)</t>
  </si>
  <si>
    <t>Broken Dam/Burst bank</t>
  </si>
  <si>
    <t>12645</t>
  </si>
  <si>
    <t>Cochrane (Adm2).</t>
  </si>
  <si>
    <t>2006-0203-CAN</t>
  </si>
  <si>
    <t>Baie Verte, Middle Arm, Smith's Harbour, Burlington cities (Division No.8 district, Newfoundland and Labrador province)</t>
  </si>
  <si>
    <t>12615</t>
  </si>
  <si>
    <t>2006-0206-CAN</t>
  </si>
  <si>
    <t>0206</t>
  </si>
  <si>
    <t>Red Earth First Nation, Porcupine Plain cities (Division No.14 district, Saskatchewan province), Fishing Lake (Division No.10 district, Saskatchewan province)</t>
  </si>
  <si>
    <t>Carrot, Red Deer, Shand Creek, Saskatchewan</t>
  </si>
  <si>
    <t>12802;12806</t>
  </si>
  <si>
    <t>Division No. 10, Division No. 14 (Adm2).</t>
  </si>
  <si>
    <t>2006-0261-CAN</t>
  </si>
  <si>
    <t>0261</t>
  </si>
  <si>
    <t>Aklavik city (Region 1 district, Northwest Territories province)</t>
  </si>
  <si>
    <t>Mackenzie</t>
  </si>
  <si>
    <t>190730</t>
  </si>
  <si>
    <t>Region 1 (Adm2).</t>
  </si>
  <si>
    <t>2006-0269-CAN</t>
  </si>
  <si>
    <t>0269</t>
  </si>
  <si>
    <t>Grand Forks city (Kootenay Boundary district, British Columbia province), Nelson city (Central Kootenay district, British Columbia province), Penticton city (Okanagan-Similkameen district, British Columbia province)</t>
  </si>
  <si>
    <t>Rains and snowmelt</t>
  </si>
  <si>
    <t>Kettle, Ellis Creek, Slocan, Granby</t>
  </si>
  <si>
    <t>12544;12554;12559</t>
  </si>
  <si>
    <t>Central Kootenay, Kootenay Boundary, Okanagan-Similkameen (Adm2).</t>
  </si>
  <si>
    <t>2007-0066-CAN</t>
  </si>
  <si>
    <t>2007</t>
  </si>
  <si>
    <t>0066</t>
  </si>
  <si>
    <t>Ontario, Quebec provinces</t>
  </si>
  <si>
    <t>833;835</t>
  </si>
  <si>
    <t>Ontario, Quebec / Québec (Adm1).</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</si>
  <si>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</si>
  <si>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</si>
  <si>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</si>
  <si>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12540;12551;12553</t>
  </si>
  <si>
    <t>Bulkley-Nechako, Fraser-Fort George, Kitimat-Stikine (Adm2).</t>
  </si>
  <si>
    <t>2005-0467-USA</t>
  </si>
  <si>
    <t>0467</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</si>
  <si>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</si>
  <si>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</si>
  <si>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3223;3224</t>
  </si>
  <si>
    <t>28739;29826;29834;29842;30101;30102;30108</t>
  </si>
  <si>
    <t>Florida, Georgia (Adm1). Hancock, Harrison, Jackson, Mobile, Orleans, St. Bernard, St. Tammany (Adm2).</t>
  </si>
  <si>
    <t>2005-0716-USA</t>
  </si>
  <si>
    <t>0716</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</si>
  <si>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</si>
  <si>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</si>
  <si>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28883;28885;28887;28892;28893;28912;28913;30424;30439</t>
  </si>
  <si>
    <t>Carson City, Los Angeles, Marin, Mendocino, Napa, Nevada, Solano, Sonoma, Washoe (Adm2).</t>
  </si>
  <si>
    <t>2005-0585-USA</t>
  </si>
  <si>
    <t>0585</t>
  </si>
  <si>
    <t>Hurricane "Wilma"</t>
  </si>
  <si>
    <t>Florida Keys, Naples areas (Collier district, Florida province)</t>
  </si>
  <si>
    <t>29008</t>
  </si>
  <si>
    <t>Collier (Adm2).</t>
  </si>
  <si>
    <t>2005-0286-USA</t>
  </si>
  <si>
    <t>0286</t>
  </si>
  <si>
    <t>Idaho province</t>
  </si>
  <si>
    <t>3226</t>
  </si>
  <si>
    <t>Idaho (Adm1).</t>
  </si>
  <si>
    <t>2005-0583-USA</t>
  </si>
  <si>
    <t>0583</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</si>
  <si>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</si>
  <si>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</si>
  <si>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28987;28992;28993;29896;29900;29908;30443;30452;30463;30466;30468;31495</t>
  </si>
  <si>
    <t>Bergen, Berkshire, Cheshire, Franklin, Hartford, Monmouth, Passaic, Somerset, Tolland, Windham, Worcester (Adm2).</t>
  </si>
  <si>
    <t>2005-0547-USA</t>
  </si>
  <si>
    <t>0547</t>
  </si>
  <si>
    <t>Rita</t>
  </si>
  <si>
    <t>Louisiana, Texas, Mississippi provinces</t>
  </si>
  <si>
    <t>Vermillion, Calcasieu, Mermentau, Amite, Sabine, Neches</t>
  </si>
  <si>
    <t>3232;3238;3257</t>
  </si>
  <si>
    <t>Louisiana, Mississippi, Texas (Adm1).</t>
  </si>
  <si>
    <t>2005-0530-USA</t>
  </si>
  <si>
    <t>0530</t>
  </si>
  <si>
    <t>Wisconsin province</t>
  </si>
  <si>
    <t>3263</t>
  </si>
  <si>
    <t>Wisconsin (Adm1).</t>
  </si>
  <si>
    <t>2005-0682-USA</t>
  </si>
  <si>
    <t>0682</t>
  </si>
  <si>
    <t>Maine, New Hampshire, Vermont, Massachusetts, Rhode Island, Connecticut, New York, New Jersey, Pennsylvania, Idaho, Michigan, Minnesota, Montana, North Dakota, Oregon, South Dakota, Washington, Wisconsin, Wyoming provinces</t>
  </si>
  <si>
    <t>3220;3226;3233;3235;3236;3237;3240;3243;3244;3246;3248;3251;3252;3253;3255;3259;3261;3263;3264</t>
  </si>
  <si>
    <t>Connecticut, Idaho, Maine, Massachusetts, Michigan, Minnesota, Montana, New Hampshire, New Jersey, New York, North Dakota, Oregon, Pennsylvania, Rhode Island, South Dakota, Vermont, Washington, Wisconsin, Wyoming (Adm1).</t>
  </si>
  <si>
    <t>2005-0351-USA</t>
  </si>
  <si>
    <t>Hurricane "Dennis"</t>
  </si>
  <si>
    <t>Florida, Georgia provinces</t>
  </si>
  <si>
    <t>Florida, Georgia (Adm1).</t>
  </si>
  <si>
    <t>2005-0687-USA</t>
  </si>
  <si>
    <t>Arizona, Nevada, Oklahoma, Utah, Missouri, Kentucky, Ohio, Mississippi provinces</t>
  </si>
  <si>
    <t>3216;3231;3238;3239;3242;3249;3250;3258</t>
  </si>
  <si>
    <t>Arizona, Kentucky, Mississippi, Missouri, Nevada, Ohio, Oklahoma, Utah (Adm1).</t>
  </si>
  <si>
    <t>2005-0724-USA</t>
  </si>
  <si>
    <t>Texas, Oklahoma provinces</t>
  </si>
  <si>
    <t>3250;3257</t>
  </si>
  <si>
    <t>Oklahoma, Texas (Adm1).</t>
  </si>
  <si>
    <t>2006-0180-USA</t>
  </si>
  <si>
    <t>0180</t>
  </si>
  <si>
    <t>Amador, Calaveras, Fresno, Merced, San Joaquin, San Mateo, Stanislau districts (California province)</t>
  </si>
  <si>
    <t>Merced, Consumes, San Joaquin, Sacramento, Navarro</t>
  </si>
  <si>
    <t>28867;28869;28874;28888;28903;28905;28914</t>
  </si>
  <si>
    <t>Amador, Calaveras, Fresno, Merced, San Joaquin, San Mateo, Stanislaus (Adm2).</t>
  </si>
  <si>
    <t>2006-0341-USA</t>
  </si>
  <si>
    <t>0341</t>
  </si>
  <si>
    <t>Maryland, Pennsylvania, New York, Delaware, Virginia, New Jersey provinces</t>
  </si>
  <si>
    <t>Heavy rain, thunderstoms</t>
  </si>
  <si>
    <t>3221;3234;3244;3246;3252;3260</t>
  </si>
  <si>
    <t>Delaware, Maryland, New Jersey, New York, Pennsylvania, Virginia (Adm1).</t>
  </si>
  <si>
    <t>2006-0161-USA</t>
  </si>
  <si>
    <t>0161</t>
  </si>
  <si>
    <t>Tennessee, Illinois, Arkansas, Indiana, Oklahoma, Missouri, Kentucky, Iowa provinces</t>
  </si>
  <si>
    <t>3217;3227;3228;3229;3231;3239;3250;3256</t>
  </si>
  <si>
    <t>Arkansas, Illinois, Indiana, Iowa, Kentucky, Missouri, Oklahoma, Tennessee (Adm1).</t>
  </si>
  <si>
    <t>2006-0171-USA</t>
  </si>
  <si>
    <t>0171</t>
  </si>
  <si>
    <t>Sumner, Warren districts (Tennessee province), Alabama, Georgia, Indiana, Kansas, Kentucky, Ohio provinces</t>
  </si>
  <si>
    <t>3214;3224;3228;3230;3231;3249</t>
  </si>
  <si>
    <t>31187;31193</t>
  </si>
  <si>
    <t>Alabama, Georgia, Indiana, Kansas, Kentucky, Ohio (Adm1). Sumner, Warren (Adm2).</t>
  </si>
  <si>
    <t>2006-0257-USA</t>
  </si>
  <si>
    <t>0257</t>
  </si>
  <si>
    <t>Tarrant, Bexar districts (Texas province)</t>
  </si>
  <si>
    <t>31214;31419</t>
  </si>
  <si>
    <t>Bexar, Tarrant (Adm2).</t>
  </si>
  <si>
    <t>2006-0260-USA</t>
  </si>
  <si>
    <t>0260</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</si>
  <si>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</si>
  <si>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</si>
  <si>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3233;3235;3243</t>
  </si>
  <si>
    <t>Maine, Massachusetts, New Hampshire (Adm1).</t>
  </si>
  <si>
    <t>2006-0546-USA</t>
  </si>
  <si>
    <t>0546</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</si>
  <si>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</si>
  <si>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</si>
  <si>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3227;3228;3239</t>
  </si>
  <si>
    <t>28800;28814;28827;28850;28856;29688;29707;29727;29754;29757;31170</t>
  </si>
  <si>
    <t>Illinois, Indiana, Missouri (Adm1). Calloway, Clay, Franklin, Fulton, Jessamine, Lawrence, Mercer, Montgomery, Obion, Randolph, Sharp (Adm2).</t>
  </si>
  <si>
    <t>2006-0743-USA</t>
  </si>
  <si>
    <t>0743</t>
  </si>
  <si>
    <t>Illinois, Indiana, Kentucky, Missouri, New York, Ohio, Pennsylvania, Tennessee provinces</t>
  </si>
  <si>
    <t>3227;3228;3231;3239;3246;3249;3252;3256</t>
  </si>
  <si>
    <t>Illinois, Indiana, Kentucky, Missouri, New York, Ohio, Pennsylvania, Tennessee (Adm1).</t>
  </si>
  <si>
    <t>2006-0128-USA</t>
  </si>
  <si>
    <t>Missouri, Arkansas, Illinois, Indiana, Kansas, Oklahoma provinces</t>
  </si>
  <si>
    <t>3217;3227;3228;3230;3239;3250</t>
  </si>
  <si>
    <t>Arkansas, Illinois, Indiana, Kansas, Missouri, Oklahoma (Adm1).</t>
  </si>
  <si>
    <t>2006-0595-USA</t>
  </si>
  <si>
    <t>North Carolina, Alabama, Arizona, Arkansas, Louisiana, Maryland, Mississippi, Pennsylvania, South Dakota, Texas provinces</t>
  </si>
  <si>
    <t>3214;3216;3217;3232;3234;3238;3247;3252;3255;3257</t>
  </si>
  <si>
    <t>Alabama, Arizona, Arkansas, Louisiana, Maryland, Mississippi, North Carolina, Pennsylvania, South Dakota, Texas (Adm1).</t>
  </si>
  <si>
    <t>2006-0642-USA</t>
  </si>
  <si>
    <t>0642</t>
  </si>
  <si>
    <t>Erie, Niagara, Genesee, Orleans districts (New York province)</t>
  </si>
  <si>
    <t>30519;30523;30536;30541</t>
  </si>
  <si>
    <t>Erie, Genesee, Niagara, Orleans (Adm2).</t>
  </si>
  <si>
    <t>2006-0466-USA</t>
  </si>
  <si>
    <t>0466</t>
  </si>
  <si>
    <t>Ernesto</t>
  </si>
  <si>
    <t>South Carolina, North Carolina, Virginia provinces</t>
  </si>
  <si>
    <t>3247;3254;3260</t>
  </si>
  <si>
    <t>North Carolina, South Carolina, Virginia (Adm1).</t>
  </si>
  <si>
    <t>2006-0706-USA</t>
  </si>
  <si>
    <t>0706</t>
  </si>
  <si>
    <t>Daytona beach (Volusia district, Florida province)</t>
  </si>
  <si>
    <t>29061</t>
  </si>
  <si>
    <t>Volusia (Adm2).</t>
  </si>
  <si>
    <t>2006-0707-USA</t>
  </si>
  <si>
    <t>0707</t>
  </si>
  <si>
    <t>Colorado provinces</t>
  </si>
  <si>
    <t>2006-0718-USA</t>
  </si>
  <si>
    <t>0718</t>
  </si>
  <si>
    <t>Kansas province</t>
  </si>
  <si>
    <t>3230</t>
  </si>
  <si>
    <t>Kansas (Adm1).</t>
  </si>
  <si>
    <t>2006-0344-USA</t>
  </si>
  <si>
    <t>0344</t>
  </si>
  <si>
    <t>Huron, Erie, Crawford, Lucas, Sandusky districts (Ohio province)</t>
  </si>
  <si>
    <t>Severe storms</t>
  </si>
  <si>
    <t>Huron, Cuyahoga</t>
  </si>
  <si>
    <t>30736;30741;30758;30767;30791</t>
  </si>
  <si>
    <t>Crawford, Erie, Huron, Lucas, Sandusky (Adm2).</t>
  </si>
  <si>
    <t>2006-0413-USA</t>
  </si>
  <si>
    <t>El Paso district (Texas province)</t>
  </si>
  <si>
    <t>Rio Grande</t>
  </si>
  <si>
    <t>31269</t>
  </si>
  <si>
    <t>El Paso (Adm2).</t>
  </si>
  <si>
    <t>2006-0418-USA</t>
  </si>
  <si>
    <t>0418</t>
  </si>
  <si>
    <t>Lake district (Ohio province)</t>
  </si>
  <si>
    <t>Grand, Chagrin rivers</t>
  </si>
  <si>
    <t>30762</t>
  </si>
  <si>
    <t>Lake (Adm2).</t>
  </si>
  <si>
    <t>2006-0461-USA</t>
  </si>
  <si>
    <t>0461</t>
  </si>
  <si>
    <t>Little Sustina, Kahiltna, Sheridan, Eyak, Lake Creek, Campbell Creek</t>
  </si>
  <si>
    <t>2006-0566-USA</t>
  </si>
  <si>
    <t>Prince William Sound area (Valdez-Cordova district, Alaska province)</t>
  </si>
  <si>
    <t>Copper, Lowe</t>
  </si>
  <si>
    <t>154734</t>
  </si>
  <si>
    <t>Valdez-Cordova (Adm2).</t>
  </si>
  <si>
    <t>2006-0598-USA</t>
  </si>
  <si>
    <t>Washington, Oregon provinces</t>
  </si>
  <si>
    <t>Cowlitz, Skokomish, Skykomish, Tolt, Puyallup, Skagit, Snohomish, Pilchuck, Carbon, Snoqualmie, South Fork of the Stillaguamish, Nisqually, White, Wenatchee rivers (Washington); White, Columbia, Nehalem, Wilson rivers (Oregon)</t>
  </si>
  <si>
    <t>3251;3261</t>
  </si>
  <si>
    <t>Oregon, Washington (Adm1).</t>
  </si>
  <si>
    <t>2006-0387-USA</t>
  </si>
  <si>
    <t>0387</t>
  </si>
  <si>
    <t>Modesto city (Stanislaus district, California province)</t>
  </si>
  <si>
    <t>28914</t>
  </si>
  <si>
    <t>Stanislaus (Adm2).</t>
  </si>
  <si>
    <t>2006-0427-USA</t>
  </si>
  <si>
    <t>0427</t>
  </si>
  <si>
    <t>New York province</t>
  </si>
  <si>
    <t>3246</t>
  </si>
  <si>
    <t>New York (Adm1).</t>
  </si>
  <si>
    <t>2006-0576-USA</t>
  </si>
  <si>
    <t>0576</t>
  </si>
  <si>
    <t>Riverside, Palm Springs cities (Riverside district, California province), San Diego district (California province)</t>
  </si>
  <si>
    <t>28897;28901</t>
  </si>
  <si>
    <t>Riverside, San Diego (Adm2).</t>
  </si>
  <si>
    <t>2006-0662-USA</t>
  </si>
  <si>
    <t>0662</t>
  </si>
  <si>
    <t>Ventura district (California province)</t>
  </si>
  <si>
    <t>28920</t>
  </si>
  <si>
    <t>Ventura (Adm2).</t>
  </si>
  <si>
    <t>2006-0374-USA</t>
  </si>
  <si>
    <t>0374</t>
  </si>
  <si>
    <t>California province</t>
  </si>
  <si>
    <t>3218</t>
  </si>
  <si>
    <t>California (Adm1).</t>
  </si>
  <si>
    <t>2006-0744-USA</t>
  </si>
  <si>
    <t>0744</t>
  </si>
  <si>
    <t>Oregon, Washington provinces</t>
  </si>
  <si>
    <t>2007-0026-USA</t>
  </si>
  <si>
    <t>0026</t>
  </si>
  <si>
    <t>California, Texas, Georgia, South Carolina, Oklahoma, Missouri, Iowa, Michigan, New York, Maine, Kansas, Illinois provinces</t>
  </si>
  <si>
    <t>3218;3224;3227;3229;3230;3233;3236;3239;3246;3250;3254;3257</t>
  </si>
  <si>
    <t>California, Georgia, Illinois, Iowa, Kansas, Maine, Michigan, Missouri, New York, Oklahoma, South Carolina, Texas (Adm1).</t>
  </si>
  <si>
    <t>2007-0066-USA</t>
  </si>
  <si>
    <t>New York, Vermont, New Jersey, Ohio, Pennsylvania provinces</t>
  </si>
  <si>
    <t>3244;3246;3249;3252;3259</t>
  </si>
  <si>
    <t>New Jersey, New York, Ohio, Pennsylvania, Vermont (Adm1).</t>
  </si>
  <si>
    <t>2007-0156-USA</t>
  </si>
  <si>
    <t>0156</t>
  </si>
  <si>
    <t>2007-0048-USA</t>
  </si>
  <si>
    <t>0048</t>
  </si>
  <si>
    <t>TO-2007-000024</t>
  </si>
  <si>
    <t>Volusia, Lake, Sumter, Seminole districts (Florida province)</t>
  </si>
  <si>
    <t>29031;29054;29057;29061</t>
  </si>
  <si>
    <t>Lake, Seminole, Sumter, Volusia (Adm2).</t>
  </si>
  <si>
    <t>2007-0083-USA</t>
  </si>
  <si>
    <t>0083</t>
  </si>
  <si>
    <t>Alabama, Missouri, Georgia, Minnesota provinces</t>
  </si>
  <si>
    <t>3214;3224;3237;3239</t>
  </si>
  <si>
    <t>Alabama, Georgia, Minnesota, Missouri (Adm1).</t>
  </si>
  <si>
    <t>2007-0041-USA</t>
  </si>
  <si>
    <t>0041</t>
  </si>
  <si>
    <t>Indiana, Arkansas, Texas, Ohio, Missouri provinces</t>
  </si>
  <si>
    <t>Wabash, White, East Fork of White River, Lower Ohio, Patoka, Black, St Francis, White, Cache, Ouachita, Sabine, Navasota, Neches, Sulpher, lower Ohio</t>
  </si>
  <si>
    <t>3217;3228;3239;3249;3257</t>
  </si>
  <si>
    <t>Arkansas, Indiana, Missouri, Ohio, Texas (Adm1).</t>
  </si>
  <si>
    <t>2007-0621-CAN</t>
  </si>
  <si>
    <t>0621</t>
  </si>
  <si>
    <t>Toronto, Ottawa districts (Ontario province), Montreal district (Quebec province)</t>
  </si>
  <si>
    <t>12671;12686;12713</t>
  </si>
  <si>
    <t>Montreal, Ottawa, Toronto (Adm2).</t>
  </si>
  <si>
    <t>2008-0264-CAN</t>
  </si>
  <si>
    <t>2008</t>
  </si>
  <si>
    <t>0264</t>
  </si>
  <si>
    <t>James Bay area (Cochrane, Kenora districts, North Ontario province)</t>
  </si>
  <si>
    <t>Albany river</t>
  </si>
  <si>
    <t>12645;12660</t>
  </si>
  <si>
    <t>Cochrane, Kenora (Adm2).</t>
  </si>
  <si>
    <t>2008-0170-CAN</t>
  </si>
  <si>
    <t>0170</t>
  </si>
  <si>
    <t>Belleville city, Foxboro community, Tweed village (Hastings district, Ontario province), Campbellford, Trent Hills municipality (Northumberland district, Ontario province), Ottawa city (Ottawa province, Ontario province)</t>
  </si>
  <si>
    <t>Moira, Trent, Crowe, Rideau</t>
  </si>
  <si>
    <t>12657;12670;12671</t>
  </si>
  <si>
    <t>Hastings, Northumberland, Ottawa (Adm2).</t>
  </si>
  <si>
    <t>2009-0189-CAN</t>
  </si>
  <si>
    <t>2009</t>
  </si>
  <si>
    <t>0189</t>
  </si>
  <si>
    <t>New Brunswick / Nouveau-Brunswick province</t>
  </si>
  <si>
    <t>Ice Jam/break-up</t>
  </si>
  <si>
    <t>828</t>
  </si>
  <si>
    <t>New Brunswick / Nouveau-Brunswick (Adm1).</t>
  </si>
  <si>
    <t>2007-0383-USA</t>
  </si>
  <si>
    <t>Illinois, Colorado, Michigan, Minnesota, Wisconsin, Ohio, Oklahoma, North Dakota provinces</t>
  </si>
  <si>
    <t>3219;3227;3236;3237;3248;3249;3250;3263</t>
  </si>
  <si>
    <t>Colorado, Illinois, Michigan, Minnesota, North Dakota, Ohio, Oklahoma, Wisconsin (Adm1).</t>
  </si>
  <si>
    <t>2007-0581-USA</t>
  </si>
  <si>
    <t>0581</t>
  </si>
  <si>
    <t>2007-0662-USA</t>
  </si>
  <si>
    <t>Colorado, Iowa, Kansas, Minnesota, Missouri, Nebraska, Oklahoma, South Dakota provinces</t>
  </si>
  <si>
    <t>3219;3229;3230;3237;3239;3241;3250;3255</t>
  </si>
  <si>
    <t>Colorado, Iowa, Kansas, Minnesota, Missouri, Nebraska, Oklahoma, South Dakota (Adm1).</t>
  </si>
  <si>
    <t>2007-0663-USA</t>
  </si>
  <si>
    <t>Texas, Delaware, Connecticut, Georgia, Louisiana, Massachusetts, Maine, Maryland, Mississippi, New Hampshire, New Jersey, New York, North Carolina, Pennsylvania, Rhode Island, South Carolina, Vermont, Virginia provinces</t>
  </si>
  <si>
    <t>3220;3221;3224;3232;3233;3234;3235;3238;3243;3244;3246;3247;3252;3253;3254;3257;3259;3260</t>
  </si>
  <si>
    <t>Connecticut, Delaware, Georgia, Louisiana, Maine, Maryland, Massachusetts, Mississippi, New Hampshire, New Jersey, New York, North Carolina, Pennsylvania, Rhode Island, South Carolina, Texas, Vermont, Virginia (Adm1).</t>
  </si>
  <si>
    <t>2007-0244-USA</t>
  </si>
  <si>
    <t>0244</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</si>
  <si>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</si>
  <si>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</si>
  <si>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29566;29615;29626;29628;29632;29668;29669;30167;30269;30841;30850;30862;30865;30870;30881;31226;31266;31310;31341;31383;31442;31445</t>
  </si>
  <si>
    <t>Allen, Bates, Burnet, Eastland, Hood, Jefferson, Labette, Lampasas, Love, Miami, Montgomery, Neosho, Oklahoma, Ottawa, Parker, Pottawatomie, Vernon, Washington, Wichita, Williamson, Wilson, Woodson (Adm2).</t>
  </si>
  <si>
    <t>2007-0690-USA</t>
  </si>
  <si>
    <t>0690</t>
  </si>
  <si>
    <t>Iowa, Kansas, Minnesota, Texas, Wisconsin provinces</t>
  </si>
  <si>
    <t>3229;3230;3237;3257;3263</t>
  </si>
  <si>
    <t>Iowa, Kansas, Minnesota, Texas, Wisconsin (Adm1).</t>
  </si>
  <si>
    <t>2007-0251-USA</t>
  </si>
  <si>
    <t>0251</t>
  </si>
  <si>
    <t>Spring Brook, Veaverkill Creek</t>
  </si>
  <si>
    <t>2007-0519-USA</t>
  </si>
  <si>
    <t>0519</t>
  </si>
  <si>
    <t>Los Angeles, Orange, Riverside, San Bernardino, San Diego, Santa Barbara, Ventura districts (California province)</t>
  </si>
  <si>
    <t>28883;28894;28897;28900;28901;28906;28920</t>
  </si>
  <si>
    <t>Los Angeles, Orange, Riverside, San Bernardino, San Diego, Santa Barbara, Ventura (Adm2).</t>
  </si>
  <si>
    <t>2007-0689-USA</t>
  </si>
  <si>
    <t>0689</t>
  </si>
  <si>
    <t>Arkansas, Iowa, Texas</t>
  </si>
  <si>
    <t>3217;3229;3257</t>
  </si>
  <si>
    <t>Arkansas, Iowa, Texas (Adm1).</t>
  </si>
  <si>
    <t>2007-0612-PRI</t>
  </si>
  <si>
    <t>0612</t>
  </si>
  <si>
    <t>ST-2007-000224</t>
  </si>
  <si>
    <t>Olga</t>
  </si>
  <si>
    <t>2007-0359-USA</t>
  </si>
  <si>
    <t>0359</t>
  </si>
  <si>
    <t>Erin</t>
  </si>
  <si>
    <t>Texas, Oklahoma, Missouri provinces</t>
  </si>
  <si>
    <t>3239;3250;3257</t>
  </si>
  <si>
    <t>Missouri, Oklahoma, Texas (Adm1).</t>
  </si>
  <si>
    <t>2007-0621-USA</t>
  </si>
  <si>
    <t>Illinois, Iowa, Missouri, Minnesota, Kansas, Nebraska, Colorado, Michigan, Wisconsin, Wyoming provinces</t>
  </si>
  <si>
    <t>3219;3227;3229;3230;3236;3237;3239;3241;3263;3264</t>
  </si>
  <si>
    <t>Colorado, Illinois, Iowa, Kansas, Michigan, Minnesota, Missouri, Nebraska, Wisconsin, Wyoming (Adm1).</t>
  </si>
  <si>
    <t>2007-0641-USA</t>
  </si>
  <si>
    <t>0641</t>
  </si>
  <si>
    <t>Oklahoma, Missouri, Iowa, Illinois, Kansas, Nebraska, Connecticut, Michigan, New York, New Jersey, Pennsylvania, Rhode Island provinces</t>
  </si>
  <si>
    <t>3220;3227;3229;3230;3236;3239;3241;3244;3246;3250;3252;3253</t>
  </si>
  <si>
    <t>Connecticut, Illinois, Iowa, Kansas, Michigan, Missouri, Nebraska, New Jersey, New York, Oklahoma, Pennsylvania, Rhode Island (Adm1).</t>
  </si>
  <si>
    <t>2007-0173-USA</t>
  </si>
  <si>
    <t>0173</t>
  </si>
  <si>
    <t>Texas, Kansas, Oklahoma provinces</t>
  </si>
  <si>
    <t>Guadalupe, Pedernales, Medina, Little Arkansas, Mulberry Creek, Honey Creek, Washita</t>
  </si>
  <si>
    <t>3230;3250;3257</t>
  </si>
  <si>
    <t>Kansas, Oklahoma, Texas (Adm1).</t>
  </si>
  <si>
    <t>2007-0254-USA</t>
  </si>
  <si>
    <t>0254</t>
  </si>
  <si>
    <t>North Texas, Oklahoma provinces</t>
  </si>
  <si>
    <t>Pecan Creek</t>
  </si>
  <si>
    <t>2007-0351-USA</t>
  </si>
  <si>
    <t>Alpine, Amador, Calaveras, El Dorado, Mono, Placer, Tuolumne districts (California province)</t>
  </si>
  <si>
    <t>28866;28867;28869;28873;28890;28895;28919</t>
  </si>
  <si>
    <t>Alpine, Amador, Calaveras, El Dorado, Mono, Placer, Tuolumne (Adm2).</t>
  </si>
  <si>
    <t>2007-0579-USA</t>
  </si>
  <si>
    <t>0579</t>
  </si>
  <si>
    <t>Malibu area (Los Angeles district, California province)</t>
  </si>
  <si>
    <t>2007-9548-USA</t>
  </si>
  <si>
    <t>9548</t>
  </si>
  <si>
    <t>California, Georgia, Maryland provinces</t>
  </si>
  <si>
    <t>Lack of precipitation</t>
  </si>
  <si>
    <t>3218;3224;3234</t>
  </si>
  <si>
    <t>California, Georgia, Maryland (Adm1).</t>
  </si>
  <si>
    <t>2008-0010-USA</t>
  </si>
  <si>
    <t>0010</t>
  </si>
  <si>
    <t>California, Nevada, Oregon provinces</t>
  </si>
  <si>
    <t>irrigation canal from Truckee river</t>
  </si>
  <si>
    <t>3218;3242;3251</t>
  </si>
  <si>
    <t>California, Nevada, Oregon (Adm1).</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</si>
  <si>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</si>
  <si>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</si>
  <si>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3227;3228;3230;3236;3237;3239;3240;3241;3263</t>
  </si>
  <si>
    <t>29473;29478;29523</t>
  </si>
  <si>
    <t>Illinois, Indiana, Kansas, Michigan, Minnesota, Missouri, Montana, Nebraska, Wisconsin (Adm1). Black Hawk, Butler, Linn (Adm2).</t>
  </si>
  <si>
    <t>2008-0194-USA</t>
  </si>
  <si>
    <t>TO-2008-000061</t>
  </si>
  <si>
    <t>Kansas, Maryland, Missouri, North Carolina, Virginia, Texas, Oklahoma, Georgia, Arkansas provinces</t>
  </si>
  <si>
    <t>Cold front meeting warm, moist air</t>
  </si>
  <si>
    <t>3217;3224;3230;3234;3239;3247;3250;3257;3260</t>
  </si>
  <si>
    <t>Arkansas, Georgia, Kansas, Maryland, Missouri, North Carolina, Oklahoma, Texas, Virginia (Adm1).</t>
  </si>
  <si>
    <t>2008-0039-USA</t>
  </si>
  <si>
    <t>0039</t>
  </si>
  <si>
    <t>TO-2008-000020</t>
  </si>
  <si>
    <t>Tennessee, Arkansas, Kentucky, Mississippi, Alabama, Indiana, Texas, Illinois, Ohio, Missouri provinces</t>
  </si>
  <si>
    <t>3214;3217;3227;3228;3231;3238;3239;3249;3256;3257</t>
  </si>
  <si>
    <t>Alabama, Arkansas, Illinois, Indiana, Kentucky, Mississippi, Missouri, Ohio, Tennessee, Texas (Adm1).</t>
  </si>
  <si>
    <t>2008-0115-USA</t>
  </si>
  <si>
    <t>0115</t>
  </si>
  <si>
    <t>Fulton, DeKalb, Cobb, Clayton, Gwinnett districts (Georgia province)</t>
  </si>
  <si>
    <t>29095;29097;29108;29124;29131</t>
  </si>
  <si>
    <t>Clayton, Cobb, DeKalb, Fulton, Gwinnett (Adm2).</t>
  </si>
  <si>
    <t>2008-0304-USA</t>
  </si>
  <si>
    <t>0304</t>
  </si>
  <si>
    <t>TC-2008-000111</t>
  </si>
  <si>
    <t>Hurricane Dolly</t>
  </si>
  <si>
    <t>Panama city beach (Bay district, Florida province), Aransas, Bexar, Brooks, Calhoun, Cameron, Hidalgo, Jim Wells, Kenedy, Kleberg, Nueces, Refugio, San Patricio, Starr, Victoria, Willacy districts (Texas province)</t>
  </si>
  <si>
    <t>29000;31203;31214;31223;31228;31230;31307;31324;31330;31336;31377;31395;31404;31413;31434;31444</t>
  </si>
  <si>
    <t>Aransas, Bay, Bexar, Brooks, Calhoun, Cameron, Hidalgo, Jim Wells, Kenedy, Kleberg, Nueces, Refugio, San Patricio, Starr, Victoria, Willacy (Adm2).</t>
  </si>
  <si>
    <t>2008-0131-USA</t>
  </si>
  <si>
    <t>0131</t>
  </si>
  <si>
    <t>Missouri, Mississippi, Arkansas, Indiana, Illinois, Ohio, Kentucky, Oklahoma, Iowa, Wisconsin, Texas provinces</t>
  </si>
  <si>
    <t>Ohio and Mississippi rivers and tributaries</t>
  </si>
  <si>
    <t>3217;3227;3228;3229;3231;3238;3239;3249;3250;3257;3263</t>
  </si>
  <si>
    <t>Arkansas, Illinois, Indiana, Iowa, Kentucky, Mississippi, Missouri, Ohio, Oklahoma, Texas, Wisconsin (Adm1).</t>
  </si>
  <si>
    <t>2008-0627-USA</t>
  </si>
  <si>
    <t>0627</t>
  </si>
  <si>
    <t>Illinois, Iowa, Kansas, Michigan, Minnesota, Missouri, Nebraska, Wisconsin provinces</t>
  </si>
  <si>
    <t>Mississipi, Ohio rivers</t>
  </si>
  <si>
    <t>3227;3229;3230;3236;3237;3239;3241;3263</t>
  </si>
  <si>
    <t>Illinois, Iowa, Kansas, Michigan, Minnesota, Missouri, Nebraska, Wisconsin (Adm1).</t>
  </si>
  <si>
    <t>2008-0338-USA</t>
  </si>
  <si>
    <t>Tropical Storm "Fay"</t>
  </si>
  <si>
    <t>Florida, Georgia, Alabama, Mississippi provinces</t>
  </si>
  <si>
    <t>3214;3223;3224;3238</t>
  </si>
  <si>
    <t>Alabama, Florida, Georgia, Mississippi (Adm1).</t>
  </si>
  <si>
    <t>2008-0384-USA</t>
  </si>
  <si>
    <t>0384</t>
  </si>
  <si>
    <t>Hurricane Ike</t>
  </si>
  <si>
    <t>Galveston, Brazoria, Harris, Chambers, Jefferson districts (Texas province), Louisiana, Tennessee, Arkansas, Ohio, Indiana, Illinois, Missouri, Kentucky, Pennsylvania, Michigan provinces</t>
  </si>
  <si>
    <t>3217;3227;3228;3231;3232;3236;3239;3249;3252;3256</t>
  </si>
  <si>
    <t>31219;31235;31283;31300;31322</t>
  </si>
  <si>
    <t>Arkansas, Illinois, Indiana, Kentucky, Louisiana, Michigan, Missouri, Ohio, Pennsylvania, Tennessee (Adm1). Brazoria, Chambers, Galveston, Harris, Jefferson (Adm2).</t>
  </si>
  <si>
    <t>2008-0599-USA</t>
  </si>
  <si>
    <t>Arkansas, Illinois, Indiana, Kentucky, Missouri, New York, Ohio, Tennessee, Alabama, Mississippi provinces</t>
  </si>
  <si>
    <t>3214;3217;3227;3228;3231;3238;3239;3246;3249;3256</t>
  </si>
  <si>
    <t>Alabama, Arkansas, Illinois, Indiana, Kentucky, Mississippi, Missouri, New York, Ohio, Tennessee (Adm1).</t>
  </si>
  <si>
    <t>2008-0601-USA</t>
  </si>
  <si>
    <t>Arkansas, Oklahoma, Texas provinces</t>
  </si>
  <si>
    <t>3217;3250;3257</t>
  </si>
  <si>
    <t>Arkansas, Oklahoma, Texas (Adm1).</t>
  </si>
  <si>
    <t>2008-0645-USA</t>
  </si>
  <si>
    <t>0645</t>
  </si>
  <si>
    <t>Suffolk district (Virginia province)</t>
  </si>
  <si>
    <t>31616</t>
  </si>
  <si>
    <t>Suffolk (Adm2).</t>
  </si>
  <si>
    <t>2008-0654-USA</t>
  </si>
  <si>
    <t>0654</t>
  </si>
  <si>
    <t>Massachusetts, New York, Maine, New Hampshire, Vermont provinces</t>
  </si>
  <si>
    <t>3233;3235;3243;3246;3259</t>
  </si>
  <si>
    <t>Maine, Massachusetts, New Hampshire, New York, Vermont (Adm1).</t>
  </si>
  <si>
    <t>2008-0563-USA</t>
  </si>
  <si>
    <t>0563</t>
  </si>
  <si>
    <t>Severe winter conditions</t>
  </si>
  <si>
    <t>Snow/Ice</t>
  </si>
  <si>
    <t>Maine, Massachusetts, New Hampshire, New York, Vermont provinces</t>
  </si>
  <si>
    <t>2008-0099-USA</t>
  </si>
  <si>
    <t>Wells city (Elko district, Nevada province)</t>
  </si>
  <si>
    <t>06:16</t>
  </si>
  <si>
    <t>30428</t>
  </si>
  <si>
    <t>Elko (Adm2).</t>
  </si>
  <si>
    <t>2008-0638-USA</t>
  </si>
  <si>
    <t>0638</t>
  </si>
  <si>
    <t>Orting town (Pierce district, Washington province), Chehalus town (Lewis district, Washington), Oregon province</t>
  </si>
  <si>
    <t>Puyallup, Newaukaum</t>
  </si>
  <si>
    <t>31650;31656</t>
  </si>
  <si>
    <t>Oregon (Adm1). Lewis, Pierce (Adm2).</t>
  </si>
  <si>
    <t>2008-0600-USA</t>
  </si>
  <si>
    <t>Extra-tropical storm</t>
  </si>
  <si>
    <t>Arkansas, California, Colorado, Illinois, Indiana, Kansas, Michigan, Missouri, New York, Ohio, Oklahoma, Oregon, Washington, Wisconsin provinces</t>
  </si>
  <si>
    <t>3217;3218;3219;3227;3228;3230;3236;3239;3246;3249;3250;3251;3261;3263</t>
  </si>
  <si>
    <t>Arkansas, California, Colorado, Illinois, Indiana, Kansas, Michigan, Missouri, New York, Ohio, Oklahoma, Oregon, Washington, Wisconsin (Adm1).</t>
  </si>
  <si>
    <t>2008-0352-USA</t>
  </si>
  <si>
    <t>0352</t>
  </si>
  <si>
    <t>TC-2008-000143</t>
  </si>
  <si>
    <t>Hurricane "Gustav"</t>
  </si>
  <si>
    <t>Louisiana, Mississippi, Texas, Alabama provinces</t>
  </si>
  <si>
    <t>3214;3232;3238;3257</t>
  </si>
  <si>
    <t>Alabama, Louisiana, Mississippi, Texas (Adm1).</t>
  </si>
  <si>
    <t>2008-0378-USA</t>
  </si>
  <si>
    <t>0378</t>
  </si>
  <si>
    <t>Hurricane 'Hanna'</t>
  </si>
  <si>
    <t>Florida, North Carolina, Maryland provinces</t>
  </si>
  <si>
    <t>3223;3234;3247</t>
  </si>
  <si>
    <t>Florida, Maryland, North Carolina (Adm1).</t>
  </si>
  <si>
    <t>2008-0253-USA</t>
  </si>
  <si>
    <t>0253</t>
  </si>
  <si>
    <t>Lightening, drought, wind</t>
  </si>
  <si>
    <t>2008-0524-USA</t>
  </si>
  <si>
    <t>0524</t>
  </si>
  <si>
    <t>Los Angeles, Orange, Riverside, Santa Barbara districts (California province)</t>
  </si>
  <si>
    <t>28883;28894;28897;28906</t>
  </si>
  <si>
    <t>Los Angeles, Orange, Riverside, Santa Barbara (Adm2).</t>
  </si>
  <si>
    <t>2009-0140-USA</t>
  </si>
  <si>
    <t>0140</t>
  </si>
  <si>
    <t>Texas, Oklahoma, Arkansas, Alabama, Georgia, Kentucky, Louisiana, Missouri, South Carolina, Tennessee provinces</t>
  </si>
  <si>
    <t>Fire</t>
  </si>
  <si>
    <t>3214;3217;3224;3231;3232;3239;3250;3254;3256;3257</t>
  </si>
  <si>
    <t>Alabama, Arkansas, Georgia, Kentucky, Louisiana, Missouri, Oklahoma, South Carolina, Tennessee, Texas (Adm1).</t>
  </si>
  <si>
    <t>2009-0184-USA</t>
  </si>
  <si>
    <t>Virginia, Kentucky provinces</t>
  </si>
  <si>
    <t>3231;3260</t>
  </si>
  <si>
    <t>Kentucky, Virginia (Adm1).</t>
  </si>
  <si>
    <t>2009-0106-USA</t>
  </si>
  <si>
    <t>North Dakota, Minnesota provinces</t>
  </si>
  <si>
    <t>Snowmelt, hevay rain</t>
  </si>
  <si>
    <t>Red river, Fargo, James river</t>
  </si>
  <si>
    <t>3237;3248</t>
  </si>
  <si>
    <t>Minnesota, North Dakota (Adm1).</t>
  </si>
  <si>
    <t>2009-0190-USA</t>
  </si>
  <si>
    <t>0190</t>
  </si>
  <si>
    <t>2009-0056-USA</t>
  </si>
  <si>
    <t>0056</t>
  </si>
  <si>
    <t>Texas, Pennsylvania, Oklahoma, Kentucky, Missouri, Arkansas, District of Columbia provinces</t>
  </si>
  <si>
    <t>3217;3222;3231;3239;3250;3252;3257</t>
  </si>
  <si>
    <t>Arkansas, District of Columbia, Kentucky, Missouri, Oklahoma, Pennsylvania, Texas (Adm1).</t>
  </si>
  <si>
    <t>2009-0178-USA</t>
  </si>
  <si>
    <t>0178</t>
  </si>
  <si>
    <t>Santa Barbara district (California province)</t>
  </si>
  <si>
    <t>Record temperatures and strong winds</t>
  </si>
  <si>
    <t>28906</t>
  </si>
  <si>
    <t>Santa Barbara (Adm2).</t>
  </si>
  <si>
    <t>2009-0619-CAN</t>
  </si>
  <si>
    <t>0619</t>
  </si>
  <si>
    <t>New Brunswick province</t>
  </si>
  <si>
    <t>2009-0342-CAN</t>
  </si>
  <si>
    <t>0342</t>
  </si>
  <si>
    <t>Hurricane Bill</t>
  </si>
  <si>
    <t>Nova Scotia, Newfoundland and Labrador provinces</t>
  </si>
  <si>
    <t>829;831</t>
  </si>
  <si>
    <t>Newfoundland and Labrador / Terre-Neuve-et-Labrador, Nova Scotia / Nouvelle-écosse (Adm1).</t>
  </si>
  <si>
    <t>2010-0655-CAN</t>
  </si>
  <si>
    <t>2010</t>
  </si>
  <si>
    <t>0655</t>
  </si>
  <si>
    <t>New Brunswick, Nova Scotia, Newfoundland and Labrador provinces</t>
  </si>
  <si>
    <t>828;829;831</t>
  </si>
  <si>
    <t>New Brunswick / Nouveau-Brunswick, Newfoundland and Labrador / Terre-Neuve-et-Labrador, Nova Scotia / Nouvelle-écosse (Adm1).</t>
  </si>
  <si>
    <t>2011-0328-CAN</t>
  </si>
  <si>
    <t>2011</t>
  </si>
  <si>
    <t>0328</t>
  </si>
  <si>
    <t>TC-2011-000114</t>
  </si>
  <si>
    <t>Hurricane Irene</t>
  </si>
  <si>
    <t>New Brunswick,Nova Scotia, Prince Edward Island provinces</t>
  </si>
  <si>
    <t>2011-0323-CAN</t>
  </si>
  <si>
    <t>0323</t>
  </si>
  <si>
    <t>Goderich town (Huron district, Ontario province)</t>
  </si>
  <si>
    <t>12658</t>
  </si>
  <si>
    <t>Huron (Adm2).</t>
  </si>
  <si>
    <t>2011-0131-CAN</t>
  </si>
  <si>
    <t>Manitoba, Saskatchewan, Quebec, Alberta provinces</t>
  </si>
  <si>
    <t>Rouge, Roseau rivers</t>
  </si>
  <si>
    <t>825;827;835;836</t>
  </si>
  <si>
    <t>Alberta, Manitoba, Quebec / Québec, Saskatchewan (Adm1).</t>
  </si>
  <si>
    <t>2009-0601-USA</t>
  </si>
  <si>
    <t>Texas, Nebraska, Oklahoma, Kansas, North Carolina, Alabama, Missouri, Arkansas, Pennsylvania, Tennessee, Mississippi, South Carolina, Kentucky provinces</t>
  </si>
  <si>
    <t>3214;3217;3230;3231;3238;3239;3241;3247;3250;3252;3254;3256;3257</t>
  </si>
  <si>
    <t>Alabama, Arkansas, Kansas, Kentucky, Mississippi, Missouri, Nebraska, North Carolina, Oklahoma, Pennsylvania, South Carolina, Tennessee, Texas (Adm1).</t>
  </si>
  <si>
    <t>2009-0244-USA</t>
  </si>
  <si>
    <t>Dallas, Tarrant, Harris, Galveston, Swisher districts (Texas province)</t>
  </si>
  <si>
    <t>31256;31283;31300;31418;31419</t>
  </si>
  <si>
    <t>Dallas, Galveston, Harris, Swisher, Tarrant (Adm2).</t>
  </si>
  <si>
    <t>2009-0644-USA</t>
  </si>
  <si>
    <t>0644</t>
  </si>
  <si>
    <t>Texas, Missouri, Louisiana provinces</t>
  </si>
  <si>
    <t>3232;3239;3257</t>
  </si>
  <si>
    <t>Louisiana, Missouri, Texas (Adm1).</t>
  </si>
  <si>
    <t>2009-0603-USA</t>
  </si>
  <si>
    <t>0603</t>
  </si>
  <si>
    <t>Denver, Wheat Ridge, Lakewood, Arvada areas (Denver district, Colorado province)</t>
  </si>
  <si>
    <t>28938</t>
  </si>
  <si>
    <t>Denver (Adm2).</t>
  </si>
  <si>
    <t>2009-0287-USA</t>
  </si>
  <si>
    <t>Ohio, Oklahoma, Kentucky, Texas, Tennessee, Pennsylvania, West Virginia, Maryland, Washington provinces</t>
  </si>
  <si>
    <t>3231;3234;3249;3250;3252;3256;3257;3261;3262</t>
  </si>
  <si>
    <t>Kentucky, Maryland, Ohio, Oklahoma, Pennsylvania, Tennessee, Texas, Washington, West Virginia (Adm1).</t>
  </si>
  <si>
    <t>2009-0477-USA</t>
  </si>
  <si>
    <t>TC-2009-000232</t>
  </si>
  <si>
    <t>Hurricane "Ida"</t>
  </si>
  <si>
    <t>Kent, Sussex districts (Delaware province), Atlantic, Burlington, Cape May, Cumberland, Monmouth, Ocean districts (New Jersey province), Virginia, New York, North Carolina, Pennsylvannia provinces</t>
  </si>
  <si>
    <t>3246;3247;3252;3260</t>
  </si>
  <si>
    <t>28994;28996;30451;30453;30455;30456;30463;30465</t>
  </si>
  <si>
    <t>New York, North Carolina, Pennsylvania, Virginia (Adm1). Atlantic, Burlington, Cape May, Cumberland, Kent, Monmouth, Ocean, Sussex (Adm2).</t>
  </si>
  <si>
    <t>2009-0342-USA</t>
  </si>
  <si>
    <t>Maine province</t>
  </si>
  <si>
    <t>Surge</t>
  </si>
  <si>
    <t>3233</t>
  </si>
  <si>
    <t>Maine (Adm1).</t>
  </si>
  <si>
    <t>2009-0604-USA</t>
  </si>
  <si>
    <t>0604</t>
  </si>
  <si>
    <t>Illinois, Missouri provinces</t>
  </si>
  <si>
    <t>3227;3239</t>
  </si>
  <si>
    <t>Illinois, Missouri (Adm1).</t>
  </si>
  <si>
    <t>2009-0599-USA</t>
  </si>
  <si>
    <t>Alabama, North Carolina, South Dakota, Pennsylvania, Texas, Oklahoma provinces</t>
  </si>
  <si>
    <t>3214;3247;3250;3252;3255;3257</t>
  </si>
  <si>
    <t>Alabama, North Carolina, Oklahoma, Pennsylvania, South Dakota, Texas (Adm1).</t>
  </si>
  <si>
    <t>2009-0405-USA</t>
  </si>
  <si>
    <t>0405</t>
  </si>
  <si>
    <t>FL-2009-000203</t>
  </si>
  <si>
    <t>Douglas, Floyd, Carroll, Fulton, DeKalb, Cobb, Clayton, Gwinnett districts (Georgia province), Alabama, North Carolina,Tennessee provinces</t>
  </si>
  <si>
    <t>3214;3247;3256</t>
  </si>
  <si>
    <t>29086;29095;29097;29108;29112;29121;29124;29131</t>
  </si>
  <si>
    <t>Alabama, North Carolina, Tennessee (Adm1). Carroll, Clayton, Cobb, DeKalb, Douglas, Floyd, Fulton, Gwinnett (Adm2).</t>
  </si>
  <si>
    <t>2009-0349-USA</t>
  </si>
  <si>
    <t>0349</t>
  </si>
  <si>
    <t>Los Angeles, Monterey districts (California province)</t>
  </si>
  <si>
    <t>28883;28891</t>
  </si>
  <si>
    <t>Los Angeles, Monterey (Adm2).</t>
  </si>
  <si>
    <t>2010-0690-USA</t>
  </si>
  <si>
    <t>Colorado, Georgia, Illinois, Kansas, North Carolina, New Mexico, Oklahoma, South Carolina provinces</t>
  </si>
  <si>
    <t>3219;3224;3227;3230;3245;3247;3250;3254</t>
  </si>
  <si>
    <t>Colorado, Georgia, Illinois, Kansas, New Mexico, North Carolina, Oklahoma, South Carolina (Adm1).</t>
  </si>
  <si>
    <t>2010-0196-USA</t>
  </si>
  <si>
    <t>2010-0468-USA</t>
  </si>
  <si>
    <t>Hurricane Earl</t>
  </si>
  <si>
    <t>North Carolina, Virginia, Maryland, Massachusetts, Rhode Island provinces</t>
  </si>
  <si>
    <t>3234;3235;3247;3253;3260</t>
  </si>
  <si>
    <t>Maryland, Massachusetts, North Carolina, Rhode Island, Virginia (Adm1).</t>
  </si>
  <si>
    <t>2010-0689-USA</t>
  </si>
  <si>
    <t>Illinois, Indiana, Iowa, Kansas, Michigan, Minnesota, Missouri, Montana, Nebraska provinces</t>
  </si>
  <si>
    <t>3227;3228;3229;3230;3236;3237;3239;3240;3241</t>
  </si>
  <si>
    <t>Illinois, Indiana, Iowa, Kansas, Michigan, Minnesota, Missouri, Montana, Nebraska (Adm1).</t>
  </si>
  <si>
    <t>2010-0187-USA</t>
  </si>
  <si>
    <t>0187</t>
  </si>
  <si>
    <t>Alabama, Arkansas, Mississippi, Kentucky, Tennessee provinces</t>
  </si>
  <si>
    <t>3214;3217;3231;3238;3256</t>
  </si>
  <si>
    <t>Alabama, Arkansas, Kentucky, Mississippi, Tennessee (Adm1).</t>
  </si>
  <si>
    <t>2010-0612-USA</t>
  </si>
  <si>
    <t>Connecticut, Massachusetts, New Hampshire, New Jersey, New York, Pennsylvania, Rhode Island provinces</t>
  </si>
  <si>
    <t>3220;3235;3243;3244;3246;3252;3253</t>
  </si>
  <si>
    <t>Connecticut, Massachusetts, New Hampshire, New Jersey, New York, Pennsylvania, Rhode Island (Adm1).</t>
  </si>
  <si>
    <t>2010-0522-USA</t>
  </si>
  <si>
    <t>0522</t>
  </si>
  <si>
    <t>Tropical storm Hermine</t>
  </si>
  <si>
    <t>2010-0163-USA</t>
  </si>
  <si>
    <t>0163</t>
  </si>
  <si>
    <t>Yazoo district (Mississippi province), Alabama, Louisiana, Arkansas, Georgia, Tennessee provinces</t>
  </si>
  <si>
    <t>3214;3217;3224;3232;3256</t>
  </si>
  <si>
    <t>30160</t>
  </si>
  <si>
    <t>Alabama, Arkansas, Georgia, Louisiana, Tennessee (Adm1). Yazoo (Adm2).</t>
  </si>
  <si>
    <t>2010-0663-USA</t>
  </si>
  <si>
    <t>Arkansas, Missouri, Illinois provinces</t>
  </si>
  <si>
    <t>3217;3227;3239</t>
  </si>
  <si>
    <t>Arkansas, Illinois, Missouri (Adm1).</t>
  </si>
  <si>
    <t>2010-0045-USA</t>
  </si>
  <si>
    <t>0045</t>
  </si>
  <si>
    <t>New Jersey, Pennsylvania, Maryland, North Carolina, Delaware, District of Columbia, Virginia provinces</t>
  </si>
  <si>
    <t>3221;3222;3234;3244;3247;3252;3260</t>
  </si>
  <si>
    <t>Delaware, District of Columbia, Maryland, New Jersey, North Carolina, Pennsylvania, Virginia (Adm1).</t>
  </si>
  <si>
    <t>2010-0089-USA</t>
  </si>
  <si>
    <t>0089</t>
  </si>
  <si>
    <t>New York, District of Columbia, New Jersey, Pennsylvania, New Hampshire, Massachusetts, Maine, Connecticut, Rhode Island, Vermont provinces</t>
  </si>
  <si>
    <t>3220;3222;3233;3235;3243;3244;3246;3252;3253;3259</t>
  </si>
  <si>
    <t>Connecticut, District of Columbia, Maine, Massachusetts, New Hampshire, New Jersey, New York, Pennsylvania, Rhode Island, Vermont (Adm1).</t>
  </si>
  <si>
    <t>2010-0655-USA</t>
  </si>
  <si>
    <t>Boston city (Suffolk district, Massachusetts province), Philadelphia district (Pennsylvania province), Fulton, DeKalb, Cobb, Clayton, Gwinnett districts (Georgia province), New York, North Carolina, Delaware, Maryland, Rhode Island, Virginia provinces</t>
  </si>
  <si>
    <t>3221;3234;3246;3247;3253;3260</t>
  </si>
  <si>
    <t>29095;29097;29108;29124;29131;29907;30971</t>
  </si>
  <si>
    <t>Delaware, Maryland, New York, North Carolina, Rhode Island, Virginia (Adm1). Clayton, Cobb, DeKalb, Fulton, Gwinnett, Philadelphia, Suffolk (Adm2).</t>
  </si>
  <si>
    <t>2010-0027-USA</t>
  </si>
  <si>
    <t>0027</t>
  </si>
  <si>
    <t>Ferndale, Eureka cities (Humboldt district, California province)</t>
  </si>
  <si>
    <t>04:27</t>
  </si>
  <si>
    <t>28876</t>
  </si>
  <si>
    <t>Humboldt (Adm2).</t>
  </si>
  <si>
    <t>2010-0162-USA</t>
  </si>
  <si>
    <t>0162</t>
  </si>
  <si>
    <t>Rhode Island province</t>
  </si>
  <si>
    <t>Hevay rains</t>
  </si>
  <si>
    <t>3253</t>
  </si>
  <si>
    <t>Rhode Island (Adm1).</t>
  </si>
  <si>
    <t>2010-0225-USA</t>
  </si>
  <si>
    <t>0225</t>
  </si>
  <si>
    <t>Arkansas, Oklahoma provinces</t>
  </si>
  <si>
    <t>3217;3250</t>
  </si>
  <si>
    <t>Arkansas, Oklahoma (Adm1).</t>
  </si>
  <si>
    <t>2010-0651-USA</t>
  </si>
  <si>
    <t>0651</t>
  </si>
  <si>
    <t>Kern, Orange, Riverside, San Bernardino, San Luis Obispo, Tulare districts (California province), Utah, Nevada, Arizona provinces</t>
  </si>
  <si>
    <t>3216;3242;3258</t>
  </si>
  <si>
    <t>28879;28894;28897;28900;28904;28918</t>
  </si>
  <si>
    <t>Arizona, Nevada, Utah (Adm1). Kern, Orange, Riverside, San Bernardino, San Luis Obispo, Tulare (Adm2).</t>
  </si>
  <si>
    <t>2011-0195-USA</t>
  </si>
  <si>
    <t>0195</t>
  </si>
  <si>
    <t>Illinois, Massachusetts, Michigan, Minnesota, North Dakota provinces</t>
  </si>
  <si>
    <t>3227;3235;3236;3237;3248</t>
  </si>
  <si>
    <t>Illinois, Massachusetts, Michigan, Minnesota, North Dakota (Adm1).</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</si>
  <si>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</si>
  <si>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</si>
  <si>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3214;3217;3219;3221;3223;3224;3231;3232;3234;3237;3238;3239;3244;3246;3247;3250;3252;3254;3256;3257;3260;3262;3263;3264</t>
  </si>
  <si>
    <t>Alabama, Arkansas, Colorado, Delaware, Florida, Georgia, Kentucky, Louisiana, Maryland, Minnesota, Mississippi, Missouri, New Jersey, New York, North Carolina, Oklahoma, Pennsylvania, South Carolina, Tennessee, Texas, Virginia, West Virginia, Wisconsin, Wyoming (Adm1).</t>
  </si>
  <si>
    <t>2011-0328-PRI</t>
  </si>
  <si>
    <t>2011-0145-USA</t>
  </si>
  <si>
    <t>Alabama, Arkansas, Kentucky, Mississippi, Missouri, Tennessee, Oklahoma provinces</t>
  </si>
  <si>
    <t>3214;3217;3231;3238;3239;3250;3256</t>
  </si>
  <si>
    <t>Alabama, Arkansas, Kentucky, Mississippi, Missouri, Oklahoma, Tennessee (Adm1).</t>
  </si>
  <si>
    <t>2011-0328-USA</t>
  </si>
  <si>
    <t>New York, New Jersey, Pennsylvania, North Carolina, Virginia, Maryland, District of Columbia, Connecticut, Florida provinces</t>
  </si>
  <si>
    <t>3220;3222;3223;3234;3244;3246;3247;3252;3260</t>
  </si>
  <si>
    <t>Connecticut, District of Columbia, Florida, Maryland, New Jersey, New York, North Carolina, Pennsylvania, Virginia (Adm1).</t>
  </si>
  <si>
    <t>2011-0303-PRI</t>
  </si>
  <si>
    <t>Tropical storm "Emily"</t>
  </si>
  <si>
    <t>2011-0134-USA</t>
  </si>
  <si>
    <t>0134</t>
  </si>
  <si>
    <t>Mississippi, Alabama, Oklahoma, Texas, North Carolina, Kansas provinces</t>
  </si>
  <si>
    <t>3214;3230;3238;3247;3250;3257</t>
  </si>
  <si>
    <t>Alabama, Kansas, Mississippi, North Carolina, Oklahoma, Texas (Adm1).</t>
  </si>
  <si>
    <t>2011-0172-USA</t>
  </si>
  <si>
    <t>0172</t>
  </si>
  <si>
    <t>Jasper, Newton districts (Missouri province)</t>
  </si>
  <si>
    <t>30209;30233</t>
  </si>
  <si>
    <t>Jasper, Newton (Adm2).</t>
  </si>
  <si>
    <t>2011-0189-USA</t>
  </si>
  <si>
    <t>Missouri, Kansas, Texas provinces</t>
  </si>
  <si>
    <t>3230;3239;3257</t>
  </si>
  <si>
    <t>Kansas, Missouri, Texas (Adm1).</t>
  </si>
  <si>
    <t>2011-0166-USA</t>
  </si>
  <si>
    <t>0166</t>
  </si>
  <si>
    <t>Illinois, Missouri, Kentucky, Tennessee, Mississppi provinces</t>
  </si>
  <si>
    <t>Heavy rains and melting snow</t>
  </si>
  <si>
    <t>3227;3231;3238;3239;3256</t>
  </si>
  <si>
    <t>Illinois, Kentucky, Mississippi, Missouri, Tennessee (Adm1).</t>
  </si>
  <si>
    <t>2011-0264-USA</t>
  </si>
  <si>
    <t>New York, Washington, Texas, Ohio, Maine, Iowa, Illinois, Minnesota, Nebraska, Wisconsin, South Dakota provinces</t>
  </si>
  <si>
    <t>3227;3229;3233;3237;3241;3246;3249;3255;3257;3261;3263</t>
  </si>
  <si>
    <t>Illinois, Iowa, Maine, Minnesota, Nebraska, New York, Ohio, South Dakota, Texas, Washington, Wisconsin (Adm1).</t>
  </si>
  <si>
    <t>2011-0349-USA</t>
  </si>
  <si>
    <t>Bastrop district (Texas province)</t>
  </si>
  <si>
    <t>Drought, high temperatures and strong winds</t>
  </si>
  <si>
    <t>31210</t>
  </si>
  <si>
    <t>Bastrop (Adm2).</t>
  </si>
  <si>
    <t>2011-0140-USA</t>
  </si>
  <si>
    <t>2011-0630-CAN</t>
  </si>
  <si>
    <t>0630</t>
  </si>
  <si>
    <t>Slave Lake area (Division No. 17 district, Alberta province)</t>
  </si>
  <si>
    <t>Dry conditions, strong winds</t>
  </si>
  <si>
    <t>12536</t>
  </si>
  <si>
    <t>Division No. 17 (Adm2).</t>
  </si>
  <si>
    <t>2012-0493-CAN</t>
  </si>
  <si>
    <t>2012</t>
  </si>
  <si>
    <t>0493</t>
  </si>
  <si>
    <t>Quebec, Ontario, Nova Scotia provinces</t>
  </si>
  <si>
    <t>831;833;835</t>
  </si>
  <si>
    <t>Nova Scotia / Nouvelle-écosse, Ontario, Quebec / Québec (Adm1).</t>
  </si>
  <si>
    <t>2012-0626-CAN</t>
  </si>
  <si>
    <t>0626</t>
  </si>
  <si>
    <t>Calgary town (Division No. 6 district, Alberta province)</t>
  </si>
  <si>
    <t>12525</t>
  </si>
  <si>
    <t>2012-0068-CAN</t>
  </si>
  <si>
    <t>0068</t>
  </si>
  <si>
    <t>Perth-Andover village (Victoria district, New Brunswick province)</t>
  </si>
  <si>
    <t>Snowmelt and heavy rains</t>
  </si>
  <si>
    <t>12605</t>
  </si>
  <si>
    <t>Victoria (Adm2).</t>
  </si>
  <si>
    <t>2013-0580-CAN</t>
  </si>
  <si>
    <t>2013</t>
  </si>
  <si>
    <t>0580</t>
  </si>
  <si>
    <t>Toronto district (Ontario province)</t>
  </si>
  <si>
    <t>12686</t>
  </si>
  <si>
    <t>Toronto (Adm2).</t>
  </si>
  <si>
    <t>2013-0528-CAN</t>
  </si>
  <si>
    <t>0528</t>
  </si>
  <si>
    <t>2013-0190-CAN</t>
  </si>
  <si>
    <t>Calgary city (Division No. 6 district, Southern Alberta province)</t>
  </si>
  <si>
    <t>Sheep, Red Deer, Hihwood, Saskatchevan rivers</t>
  </si>
  <si>
    <t>2014-0009-CAN</t>
  </si>
  <si>
    <t>2014</t>
  </si>
  <si>
    <t>0009</t>
  </si>
  <si>
    <t>Ontario, Manitoba, Saskatchewan provinces</t>
  </si>
  <si>
    <t>827;833;836</t>
  </si>
  <si>
    <t>Manitoba, Ontario, Saskatchewan (Adm1).</t>
  </si>
  <si>
    <t>2012-0060-USA</t>
  </si>
  <si>
    <t>0060</t>
  </si>
  <si>
    <t>Alabama, Tennessee, Illinois, Kentucky, Indiana, Ohio, Georgia, Florida, Mississippi, North Carolina, Virginia provinces</t>
  </si>
  <si>
    <t>3214;3223;3224;3227;3228;3231;3238;3247;3249;3256;3260</t>
  </si>
  <si>
    <t>Alabama, Florida, Georgia, Illinois, Indiana, Kentucky, Mississippi, North Carolina, Ohio, Tennessee, Virginia (Adm1).</t>
  </si>
  <si>
    <t>2012-0313-PRI</t>
  </si>
  <si>
    <t>0313</t>
  </si>
  <si>
    <t>Hurricane Isaac</t>
  </si>
  <si>
    <t>2012-0234-USA</t>
  </si>
  <si>
    <t>0234</t>
  </si>
  <si>
    <t>2012-0612-USA</t>
  </si>
  <si>
    <t>Oklahoma, Kansas, Minnesota, Texas, Pennsylvania, New York provinces</t>
  </si>
  <si>
    <t>3230;3237;3246;3250;3252;3257</t>
  </si>
  <si>
    <t>Kansas, Minnesota, New York, Oklahoma, Pennsylvania, Texas (Adm1).</t>
  </si>
  <si>
    <t>2012-0613-USA</t>
  </si>
  <si>
    <t>0613</t>
  </si>
  <si>
    <t>Colorado, Wyoming provinces</t>
  </si>
  <si>
    <t>3219;3264</t>
  </si>
  <si>
    <t>Colorado, Wyoming (Adm1).</t>
  </si>
  <si>
    <t>2012-0614-USA</t>
  </si>
  <si>
    <t>Texas, New Mexico provinces</t>
  </si>
  <si>
    <t>3245;3257</t>
  </si>
  <si>
    <t>New Mexico, Texas (Adm1).</t>
  </si>
  <si>
    <t>2012-0615-USA</t>
  </si>
  <si>
    <t>0615</t>
  </si>
  <si>
    <t>Ohio, Minnesota, Pennsylvania, Michigan, Wisconsin provinces</t>
  </si>
  <si>
    <t>3236;3237;3249;3252;3263</t>
  </si>
  <si>
    <t>Michigan, Minnesota, Ohio, Pennsylvania, Wisconsin (Adm1).</t>
  </si>
  <si>
    <t>2012-0616-USA</t>
  </si>
  <si>
    <t>0616</t>
  </si>
  <si>
    <t>Missouri, Pennsylvania, Virginia, Arkansas, Oklahoma, Maryland, New York provinces</t>
  </si>
  <si>
    <t>3217;3234;3239;3246;3250;3252;3260</t>
  </si>
  <si>
    <t>Arkansas, Maryland, Missouri, New York, Oklahoma, Pennsylvania, Virginia (Adm1).</t>
  </si>
  <si>
    <t>2012-0010-USA</t>
  </si>
  <si>
    <t>Jefferson, Chilton districts (Alabama province)</t>
  </si>
  <si>
    <t>28701;28727</t>
  </si>
  <si>
    <t>Chilton, Jefferson (Adm2).</t>
  </si>
  <si>
    <t>2012-0055-USA</t>
  </si>
  <si>
    <t>0055</t>
  </si>
  <si>
    <t>Nebraska, Kansas, Missouri, Illinois, Indiana, Kentucky provinces</t>
  </si>
  <si>
    <t>3227;3228;3230;3231;3239;3241</t>
  </si>
  <si>
    <t>Illinois, Indiana, Kansas, Kentucky, Missouri, Nebraska (Adm1).</t>
  </si>
  <si>
    <t>2012-0122-USA</t>
  </si>
  <si>
    <t>0122</t>
  </si>
  <si>
    <t>Dallas, Tarrant districts (Texas province)</t>
  </si>
  <si>
    <t>31256;31419</t>
  </si>
  <si>
    <t>Dallas, Tarrant (Adm2).</t>
  </si>
  <si>
    <t>2012-0156-USA</t>
  </si>
  <si>
    <t>Oklahoma, Kansas, Iowa, Nebraska, South Dakota, Minnesota provinces</t>
  </si>
  <si>
    <t>3229;3230;3237;3241;3250;3255</t>
  </si>
  <si>
    <t>Iowa, Kansas, Minnesota, Nebraska, Oklahoma, South Dakota (Adm1).</t>
  </si>
  <si>
    <t>2013-0334-USA</t>
  </si>
  <si>
    <t>Colorado, Wyoming, Montana provinces</t>
  </si>
  <si>
    <t>3219;3240;3264</t>
  </si>
  <si>
    <t>Colorado, Montana, Wyoming (Adm1).</t>
  </si>
  <si>
    <t>2013-0142-USA</t>
  </si>
  <si>
    <t>0142</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</si>
  <si>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</si>
  <si>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3219;3220;3227;3228;3229;3230;3233;3235;3236;3237;3239;3240;3241;3243;3245;3248;3249;3250;3253;3255;3257;3259;3263;3264</t>
  </si>
  <si>
    <t>Colorado, Connecticut, Illinois, Indiana, Iowa, Kansas, Maine, Massachusetts, Michigan, Minnesota, Missouri, Montana, Nebraska, New Hampshire, New Mexico, North Dakota, Ohio, Oklahoma, Rhode Island, South Dakota, Texas, Vermont, Wisconsin, Wyoming (Adm1).</t>
  </si>
  <si>
    <t>2013-0211-USA</t>
  </si>
  <si>
    <t>0211</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</si>
  <si>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</si>
  <si>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3214;3217;3220;3221;3223;3224;3227;3228;3229;3230;3231;3232;3233;3234;3235;3236;3237;3238;3239;3241;3243;3244;3246;3247;3248;3249;3252;3253;3254;3255;3256;3259;3260;3262;3263</t>
  </si>
  <si>
    <t>Alabama, Arkansas, Connecticut, Delaware, Florida, Georgia, Illinois, Indiana, Iowa, Kansas, Kentucky, Louisiana, Maine, Maryland, Massachusetts, Michigan, Minnesota, Mississippi, Missouri, Nebraska, New Hampshire, New Jersey, New York, North Carolina, North Dakota, Ohio, Pennsylvania, Rhode Island, South Carolina, South Dakota, Tennessee, Vermont, Virginia, West Virginia, Wisconsin (Adm1).</t>
  </si>
  <si>
    <t>2013-0013-USA</t>
  </si>
  <si>
    <t>0013</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</si>
  <si>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</si>
  <si>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3214;3217;3219;3221;3223;3224;3227;3228;3229;3230;3231;3232;3234;3236;3237;3238;3239;3240;3241;3245;3247;3248;3249;3250;3254;3255;3256;3257;3260;3262;3263;3264</t>
  </si>
  <si>
    <t>Alabama, Arkansas, Colorado, Delaware, Florida, Georgia, Illinois, Indiana, Iowa, Kansas, Kentucky, Louisiana, Maryland, Michigan, Minnesota, Mississippi, Missouri, Montana, Nebraska, New Mexico, North Carolina, North Dakota, Ohio, Oklahoma, South Carolina, South Dakota, Tennessee, Texas, Virginia, West Virginia, Wisconsin, Wyoming (Adm1).</t>
  </si>
  <si>
    <t>2011-0610-USA</t>
  </si>
  <si>
    <t>0610</t>
  </si>
  <si>
    <t>Mississippi, Ohio provinces</t>
  </si>
  <si>
    <t>Torrentail rains</t>
  </si>
  <si>
    <t>3238;3249</t>
  </si>
  <si>
    <t>Mississippi, Ohio (Adm1).</t>
  </si>
  <si>
    <t>2011-0456-USA</t>
  </si>
  <si>
    <t>0456</t>
  </si>
  <si>
    <t>Tropical Storm Lee</t>
  </si>
  <si>
    <t>Louisiana, Mississippi, Alabama, Texas, New York, Pennsylvania, District of Columbia, Georgia, Maryland, Tennessee, Virginia provinces</t>
  </si>
  <si>
    <t>3214;3222;3224;3232;3234;3238;3246;3252;3256;3257;3260</t>
  </si>
  <si>
    <t>Alabama, District of Columbia, Georgia, Louisiana, Maryland, Mississippi, New York, Pennsylvania, Tennessee, Texas, Virginia (Adm1).</t>
  </si>
  <si>
    <t>2011-0444-USA</t>
  </si>
  <si>
    <t>0444</t>
  </si>
  <si>
    <t>New York, New Jersey, Connecticut, Massachusetts provinces</t>
  </si>
  <si>
    <t>3220;3235;3244;3246</t>
  </si>
  <si>
    <t>Connecticut, Massachusetts, New Jersey, New York (Adm1).</t>
  </si>
  <si>
    <t>2011-0527-USA</t>
  </si>
  <si>
    <t>0527</t>
  </si>
  <si>
    <t>Colorado, New Mexico provinces</t>
  </si>
  <si>
    <t>3219;3245</t>
  </si>
  <si>
    <t>Colorado, New Mexico (Adm1).</t>
  </si>
  <si>
    <t>2011-0607-USA</t>
  </si>
  <si>
    <t>0607</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</si>
  <si>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</si>
  <si>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2011-0608-USA</t>
  </si>
  <si>
    <t>0608</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</si>
  <si>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</si>
  <si>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3219;3220;3227;3228;3229;3230;3233;3235;3236;3237;3239;3240;3241;3243;3244;3245;3246;3248;3249;3250;3252;3253;3255;3256;3257;3259;3263;3264</t>
  </si>
  <si>
    <t>Colorado, Connecticut, Illinois, Indiana, Iowa, Kansas, Maine, Massachusetts, Michigan, Minnesota, Missouri, Montana, Nebraska, New Hampshire, New Jersey, New Mexico, New York, North Dakota, Ohio, Oklahoma, Pennsylvania, Rhode Island, South Dakota, Tennessee, Texas, Vermont, Wisconsin, Wyoming (Adm1).</t>
  </si>
  <si>
    <t>2011-0425-USA</t>
  </si>
  <si>
    <t>0425</t>
  </si>
  <si>
    <t>Charlotte town (Mecklenburg district, North Carolina province)</t>
  </si>
  <si>
    <t>Torrential rains</t>
  </si>
  <si>
    <t>30626</t>
  </si>
  <si>
    <t>Mecklenburg (Adm2).</t>
  </si>
  <si>
    <t>2011-0646-USA</t>
  </si>
  <si>
    <t>0646</t>
  </si>
  <si>
    <t>Montana, North Dakota, South Dakota, Iowa, Missouri provinces</t>
  </si>
  <si>
    <t>Heavy snowmelt and rains</t>
  </si>
  <si>
    <t>Missouri river basin</t>
  </si>
  <si>
    <t>3229;3239;3240;3248;3255</t>
  </si>
  <si>
    <t>Iowa, Missouri, Montana, North Dakota, South Dakota (Adm1).</t>
  </si>
  <si>
    <t>2011-0609-USA</t>
  </si>
  <si>
    <t>0609</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</si>
  <si>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</si>
  <si>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2011-0611-USA</t>
  </si>
  <si>
    <t>0611</t>
  </si>
  <si>
    <t>Illinois, Indiana, Iowa, Kansas, Michigan, Minnesota, Missouri, Nebraska, North Dakota, Ohio, South Dakota, Wisconsin, New York, New Jersey, Pennsylvania provinces</t>
  </si>
  <si>
    <t>3227;3228;3229;3230;3236;3237;3239;3241;3244;3246;3248;3249;3252;3255;3263</t>
  </si>
  <si>
    <t>Illinois, Indiana, Iowa, Kansas, Michigan, Minnesota, Missouri, Nebraska, New Jersey, New York, North Dakota, Ohio, Pennsylvania, South Dakota, Wisconsin (Adm1).</t>
  </si>
  <si>
    <t>2011-0639-USA</t>
  </si>
  <si>
    <t>0639</t>
  </si>
  <si>
    <t>Arizona, Minnesota, Texas, Florida provinces</t>
  </si>
  <si>
    <t>Drought conditions and strong winds</t>
  </si>
  <si>
    <t>3216;3223;3237;3257</t>
  </si>
  <si>
    <t>Arizona, Florida, Minnesota, Texas (Adm1).</t>
  </si>
  <si>
    <t>2011-9363-USA</t>
  </si>
  <si>
    <t>9363</t>
  </si>
  <si>
    <t>Texas, Oklahoma, New Mexico, Arizona, Kansas, Louisiana provinces</t>
  </si>
  <si>
    <t>3216;3230;3232;3245;3250;3257</t>
  </si>
  <si>
    <t>Arizona, Kansas, Louisiana, New Mexico, Oklahoma, Texas (Adm1).</t>
  </si>
  <si>
    <t>2012-0410-USA</t>
  </si>
  <si>
    <t>0410</t>
  </si>
  <si>
    <t>TC-2012-000180</t>
  </si>
  <si>
    <t>Hurricane Sandy</t>
  </si>
  <si>
    <t>New York, New Jersey, Pennsylvania, Connecticut, Ohio, Delaware, Rhode Island, Maryland, Massachusetts, Maine, New Hampshire, North Carolina, Vermont, Virginia, District of Columbia, West Virginia provinces</t>
  </si>
  <si>
    <t>3220;3221;3222;3233;3234;3235;3243;3244;3246;3247;3249;3252;3253;3259;3260;3262</t>
  </si>
  <si>
    <t>Connecticut, Delaware, District of Columbia, Maine, Maryland, Massachusetts, New Hampshire, New Jersey, New York, North Carolina, Ohio, Pennsylvania, Rhode Island, Vermont, Virginia, West Virginia (Adm1).</t>
  </si>
  <si>
    <t>2012-9235-USA</t>
  </si>
  <si>
    <t>9235</t>
  </si>
  <si>
    <t>2012-9489-USA</t>
  </si>
  <si>
    <t>9489</t>
  </si>
  <si>
    <t>Illinois, Indiana, Iowa, Kansas, Michigan, Minnesota, Missouri, Nebraska, North Dakota, Ohio, South Dakota, Wisconsin, Arizona, California, Colorado, Nevada, New Mexico, Oklahoma, Texas, Utah provinces</t>
  </si>
  <si>
    <t>Severe lack of rainand extreme temperature</t>
  </si>
  <si>
    <t>3216;3218;3219;3227;3228;3229;3230;3236;3237;3239;3241;3242;3245;3248;3249;3250;3255;3257;3258;3263</t>
  </si>
  <si>
    <t>Arizona, California, Colorado, Illinois, Indiana, Iowa, Kansas, Michigan, Minnesota, Missouri, Nebraska, Nevada, New Mexico, North Dakota, Ohio, Oklahoma, South Dakota, Texas, Utah, Wisconsin (Adm1).</t>
  </si>
  <si>
    <t>2012-0313-USA</t>
  </si>
  <si>
    <t>Mississippi, Louisiana provinces</t>
  </si>
  <si>
    <t>3232;3238</t>
  </si>
  <si>
    <t>Louisiana, Mississippi (Adm1).</t>
  </si>
  <si>
    <t>2012-0486-USA</t>
  </si>
  <si>
    <t>0486</t>
  </si>
  <si>
    <t>Wisconsin, Iowa, Nebraska, Kansas provinces</t>
  </si>
  <si>
    <t>3229;3230;3241;3263</t>
  </si>
  <si>
    <t>Iowa, Kansas, Nebraska, Wisconsin (Adm1).</t>
  </si>
  <si>
    <t>2012-0493-USA</t>
  </si>
  <si>
    <t>Texas, Louisiana, Alabama, Mississippi, Arkansas, Indiana, Pennsylvania, Virginia, New York, New Jersey provinces</t>
  </si>
  <si>
    <t>3214;3217;3228;3232;3238;3244;3246;3252;3257;3260</t>
  </si>
  <si>
    <t>Alabama, Arkansas, Indiana, Louisiana, Mississippi, New Jersey, New York, Pennsylvania, Texas, Virginia (Adm1).</t>
  </si>
  <si>
    <t>2012-0611-USA</t>
  </si>
  <si>
    <t>2012-0503-USA</t>
  </si>
  <si>
    <t>0503</t>
  </si>
  <si>
    <t>Ohio, Virginia, Maryland, West Virginia, District of Columbia, Illinois, Indiana, Kentucky, New Jersey, North Carolina, South Carolina provinces</t>
  </si>
  <si>
    <t>3222;3227;3228;3231;3234;3244;3247;3249;3254;3260;3262</t>
  </si>
  <si>
    <t>District of Columbia, Illinois, Indiana, Kentucky, Maryland, New Jersey, North Carolina, Ohio, South Carolina, Virginia, West Virginia (Adm1).</t>
  </si>
  <si>
    <t>2012-0601-USA</t>
  </si>
  <si>
    <t>Missouri, Illinois, Kentucky, Texas, Indiana provinces</t>
  </si>
  <si>
    <t>3227;3228;3231;3239;3257</t>
  </si>
  <si>
    <t>Illinois, Indiana, Kentucky, Missouri, Texas (Adm1).</t>
  </si>
  <si>
    <t>2012-0177-USA</t>
  </si>
  <si>
    <t>0177</t>
  </si>
  <si>
    <t>Bay, Calhoun, Escambia, Franklin, Gadsden, Gulf, Holmes, Jackson, Jefferson, Leon, Liberty, Madison, Okaloosa, Santa Rosa, Taylor, Wakulla, Walton, Washington districts (Florida province), Alabama, Mississippi, Louisiana provinces</t>
  </si>
  <si>
    <t>Torrential rain</t>
  </si>
  <si>
    <t>3214;3232;3238</t>
  </si>
  <si>
    <t>Alabama, Louisiana, Mississippi (Adm1). Bay, Calhoun, Escambia, Franklin, Gadsden, Gulf, Holmes, Jackson, Jefferson, Leon, Liberty, Madison, Okaloosa, Santa Rosa, Taylor, Wakulla, Walton, Washington (Adm2).</t>
  </si>
  <si>
    <t>2012-0176-USA</t>
  </si>
  <si>
    <t>0176</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</si>
  <si>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</si>
  <si>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</si>
  <si>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29000;29002;29004;29006;29013;29015;29016;29019;29021;29023;29025;29026;29027;29028;29029;29031;29033;29035;29036;29037;29038;29043;29045;29046;29048;29049;29050;29052;29054;29057;29059;29061;29062;29063;29064</t>
  </si>
  <si>
    <t>Bay, Brevard, Calhoun, Citrus, Escambia, Franklin, Gadsden, Gulf, Hardee, Hernando, Hillsborough, Holmes, Indian River, Jackson, Jefferson, Lake, Leon, Liberty, Madison, Manatee, Marion, Okaloosa, Orange, Osceola, Pasco, Pinellas, Polk, Santa Rosa, Seminole, Sumter, Taylor, Volusia, Wakulla, Walton, Washington (Adm2).</t>
  </si>
  <si>
    <t>2012-0214-USA</t>
  </si>
  <si>
    <t>0214</t>
  </si>
  <si>
    <t>District of Columbia, Iowa, Virginia, North Carolina provinces</t>
  </si>
  <si>
    <t>3222;3229;3247;3260</t>
  </si>
  <si>
    <t>District of Columbia, Iowa, North Carolina, Virginia (Adm1).</t>
  </si>
  <si>
    <t>2012-0232-USA</t>
  </si>
  <si>
    <t>Waldo Canyon Fire</t>
  </si>
  <si>
    <t>Colorado Springs city (El Paso district, Colorado province)</t>
  </si>
  <si>
    <t>28942</t>
  </si>
  <si>
    <t>2012-0542-USA</t>
  </si>
  <si>
    <t>0542</t>
  </si>
  <si>
    <t>Cleveland, Creek, Oklahoma, Payne districts (Oklahoma province)</t>
  </si>
  <si>
    <t>30821;30826;30862;30867</t>
  </si>
  <si>
    <t>Cleveland, Creek, Oklahoma, Payne (Adm2).</t>
  </si>
  <si>
    <t>2013-0354-USA</t>
  </si>
  <si>
    <t>0354</t>
  </si>
  <si>
    <t>Lafayette, Lyons, Longmont towns (Boulder district, Colorado province), Larimer, El Paso, Broomfield districts (Colorado province), New Mexico province</t>
  </si>
  <si>
    <t>3245</t>
  </si>
  <si>
    <t>28942;28957;154739;154740</t>
  </si>
  <si>
    <t>New Mexico (Adm1). Boulder, Broomfield, El Paso, Larimer (Adm2).</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</si>
  <si>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</si>
  <si>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</si>
  <si>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3214;3217;3219;3221;3223;3224;3230;3231;3232;3234;3238;3240;3241;3245;3247;3248;3250;3254;3255;3256;3257;3260;3262;3264</t>
  </si>
  <si>
    <t>Alabama, Arkansas, Colorado, Delaware, Florida, Georgia, Kansas, Kentucky, Louisiana, Maryland, Mississippi, Montana, Nebraska, New Mexico, North Carolina, North Dakota, Oklahoma, South Carolina, South Dakota, Tennessee, Texas, Virginia, West Virginia, Wyoming (Adm1).</t>
  </si>
  <si>
    <t>2013-0439-USA</t>
  </si>
  <si>
    <t>0439</t>
  </si>
  <si>
    <t>Illinois, Indiana, Kentucky, Ohio, Michigan, Wisconsin, Missouri provinces</t>
  </si>
  <si>
    <t>3227;3228;3231;3236;3239;3249;3263</t>
  </si>
  <si>
    <t>Illinois, Indiana, Kentucky, Michigan, Missouri, Ohio, Wisconsin (Adm1).</t>
  </si>
  <si>
    <t>2013-0579-USA</t>
  </si>
  <si>
    <t>Texas, Oklahoma, Louisiana provinces</t>
  </si>
  <si>
    <t>3232;3250;3257</t>
  </si>
  <si>
    <t>Louisiana, Oklahoma, Texas (Adm1).</t>
  </si>
  <si>
    <t>2013-0054-USA</t>
  </si>
  <si>
    <t>0054</t>
  </si>
  <si>
    <t>Maine, New Hampshire, Vermont, Massachusetts, Rhode Island, Connecticut, New York, New Jersey, Pennsylvania provinces</t>
  </si>
  <si>
    <t>3220;3233;3235;3243;3244;3246;3252;3253;3259</t>
  </si>
  <si>
    <t>Connecticut, Maine, Massachusetts, New Hampshire, New Jersey, New York, Pennsylvania, Rhode Island, Vermont (Adm1).</t>
  </si>
  <si>
    <t>2013-0472-USA</t>
  </si>
  <si>
    <t>0472</t>
  </si>
  <si>
    <t>Oklahoma, Texas, California, New Mexico, Arizona provinces</t>
  </si>
  <si>
    <t>3216;3218;3245;3250;3257</t>
  </si>
  <si>
    <t>Arizona, California, New Mexico, Oklahoma, Texas (Adm1).</t>
  </si>
  <si>
    <t>2013-0118-USA</t>
  </si>
  <si>
    <t>0118</t>
  </si>
  <si>
    <t>Colorado, Kansas, Montana, Nebraska, New Mexico, North Dakota, Oklahoma, South Dakota, Texas, Wyoming, Illinois, Indiana, Iowa, Michigan, Minnesota, Missouri, Nebraska, North Dakota, Ohio, South Dakota, Wisconsin provinces</t>
  </si>
  <si>
    <t>3219;3227;3228;3229;3230;3236;3237;3239;3240;3241;3245;3248;3249;3250;3255;3257;3263;3264</t>
  </si>
  <si>
    <t>Colorado, Illinois, Indiana, Iowa, Kansas, Michigan, Minnesota, Missouri, Montana, Nebraska, New Mexico, North Dakota, Ohio, Oklahoma, South Dakota, Texas, Wisconsin, Wyoming (Adm1).</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</si>
  <si>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</si>
  <si>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</si>
  <si>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3219;3220;3230;3233;3235;3240;3241;3243;3244;3245;3246;3248;3249;3250;3252;3253;3255;3257;3259;3263;3264</t>
  </si>
  <si>
    <t>Colorado, Connecticut, Kansas, Maine, Massachusetts, Montana, Nebraska, New Hampshire, New Jersey, New Mexico, New York, North Dakota, Ohio, Oklahoma, Pennsylvania, Rhode Island, South Dakota, Texas, Vermont, Wisconsin, Wyoming (Adm1).</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</si>
  <si>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</si>
  <si>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</si>
  <si>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3214;3217;3221;3223;3224;3227;3228;3229;3230;3231;3232;3234;3236;3237;3238;3239;3241;3247;3248;3249;3254;3255;3256;3260;3262;3263</t>
  </si>
  <si>
    <t>Alabama, Arkansas, Delaware, Florida, Georgia, Illinois, Indiana, Iowa, Kansas, Kentucky, Louisiana, Maryland, Michigan, Minnesota, Mississippi, Missouri, Nebraska, North Carolina, North Dakota, Ohio, South Carolina, South Dakota, Tennessee, Virginia, West Virginia, Wisconsin (Adm1).</t>
  </si>
  <si>
    <t>2013-0550-USA</t>
  </si>
  <si>
    <t>0550</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</si>
  <si>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</si>
  <si>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</si>
  <si>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3214;3217;3220;3221;3223;3224;3231;3232;3233;3234;3235;3238;3243;3244;3246;3247;3250;3252;3253;3254;3256;3257;3259;3260;3262</t>
  </si>
  <si>
    <t>Alabama, Arkansas, Connecticut, Delaware, Florida, Georgia, Kentucky, Louisiana, Maine, Maryland, Massachusetts, Mississippi, New Hampshire, New Jersey, New York, North Carolina, Oklahoma, Pennsylvania, Rhode Island, South Carolina, Tennessee, Texas, Vermont, Virginia, West Virginia (Adm1).</t>
  </si>
  <si>
    <t>2013-0528-USA</t>
  </si>
  <si>
    <t>Michigan, Ohio, New York, Vermont, Maine, Kansas, Iowa, Texas, Wisconsin, Illinois, Minnesota, Arkansas, Louisiana, Mississippi, Kentucky provinces</t>
  </si>
  <si>
    <t>3217;3227;3229;3230;3231;3232;3233;3236;3237;3238;3246;3249;3257;3259;3263</t>
  </si>
  <si>
    <t>Arkansas, Illinois, Iowa, Kansas, Kentucky, Louisiana, Maine, Michigan, Minnesota, Mississippi, New York, Ohio, Texas, Vermont, Wisconsin (Adm1).</t>
  </si>
  <si>
    <t>2013-0117-USA</t>
  </si>
  <si>
    <t>0117</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</si>
  <si>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</si>
  <si>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3214;3217;3218;3219;3221;3223;3224;3227;3228;3229;3230;3231;3232;3234;3236;3237;3238;3239;3240;3241;3245;3247;3248;3249;3250;3254;3255;3256;3257;3260;3262;3263;3264</t>
  </si>
  <si>
    <t>Alabama, Arkansas, California, Colorado, Delaware, Florida, Georgia, Illinois, Indiana, Iowa, Kansas, Kentucky, Louisiana, Maryland, Michigan, Minnesota, Mississippi, Missouri, Montana, Nebraska, New Mexico, North Carolina, North Dakota, Ohio, Oklahoma, South Carolina, South Dakota, Tennessee, Texas, Virginia, West Virginia, Wisconsin, Wyoming (Adm1).</t>
  </si>
  <si>
    <t>2013-0548-USA</t>
  </si>
  <si>
    <t>0548</t>
  </si>
  <si>
    <t>Louisiana, South Carolina, Mississippi provinces</t>
  </si>
  <si>
    <t>3232;3238;3254</t>
  </si>
  <si>
    <t>Louisiana, Mississippi, South Carolina (Adm1).</t>
  </si>
  <si>
    <t>2013-0254-USA</t>
  </si>
  <si>
    <t>Cleveland, Lincoln, Catawba districts (North Carolina province), Pennsylvania province</t>
  </si>
  <si>
    <t>Slow moving storm system</t>
  </si>
  <si>
    <t>30584;30589;30621</t>
  </si>
  <si>
    <t>Pennsylvania (Adm1). Catawba, Cleveland, Lincoln (Adm2).</t>
  </si>
  <si>
    <t>2013-0277-USA</t>
  </si>
  <si>
    <t>0277</t>
  </si>
  <si>
    <t>Missouri, Kansas, Tennessee, Arkansas, Oklahoma provinces</t>
  </si>
  <si>
    <t>3217;3230;3239;3250;3256</t>
  </si>
  <si>
    <t>Arkansas, Kansas, Missouri, Oklahoma, Tennessee (Adm1).</t>
  </si>
  <si>
    <t>2013-0286-USA</t>
  </si>
  <si>
    <t>San Antonio town (Bexar district, Texas province)</t>
  </si>
  <si>
    <t>31214</t>
  </si>
  <si>
    <t>Bexar (Adm2).</t>
  </si>
  <si>
    <t>2013-0291-USA</t>
  </si>
  <si>
    <t>0291</t>
  </si>
  <si>
    <t>Iowa, Michigan, Minnesota, Wisconsin provinces</t>
  </si>
  <si>
    <t>3229;3236;3237;3263</t>
  </si>
  <si>
    <t>Iowa, Michigan, Minnesota, Wisconsin (Adm1).</t>
  </si>
  <si>
    <t>2013-0510-USA</t>
  </si>
  <si>
    <t>0510</t>
  </si>
  <si>
    <t>Austin district (Texas province)</t>
  </si>
  <si>
    <t>Torrentiak rain</t>
  </si>
  <si>
    <t>31207</t>
  </si>
  <si>
    <t>Austin (Adm2).</t>
  </si>
  <si>
    <t>2013-0558-USA</t>
  </si>
  <si>
    <t>0558</t>
  </si>
  <si>
    <t>Nelson, Carroll districts (Kentucky province)</t>
  </si>
  <si>
    <t>29691;29760</t>
  </si>
  <si>
    <t>Carroll, Nelson (Adm2).</t>
  </si>
  <si>
    <t>2013-0209-USA</t>
  </si>
  <si>
    <t>0209</t>
  </si>
  <si>
    <t>Hot temperatures, gusty winds, dry forest conditions</t>
  </si>
  <si>
    <t>2013-0210-USA</t>
  </si>
  <si>
    <t>Black Forest area (El Paso district, Colorado province)</t>
  </si>
  <si>
    <t>2013-0212-USA</t>
  </si>
  <si>
    <t>0212</t>
  </si>
  <si>
    <t>Yarnell area (Yavapai district, Arizona province)</t>
  </si>
  <si>
    <t>28788</t>
  </si>
  <si>
    <t>Yavapai (Adm2).</t>
  </si>
  <si>
    <t>2013-0315-USA</t>
  </si>
  <si>
    <t>0315</t>
  </si>
  <si>
    <t>Yosemite valley (Mariposa district, California province)</t>
  </si>
  <si>
    <t>28886</t>
  </si>
  <si>
    <t>Mariposa (Adm2).</t>
  </si>
  <si>
    <t>2013-0404-USA</t>
  </si>
  <si>
    <t>Shasta district (California province)</t>
  </si>
  <si>
    <t>2014-0319-CAN</t>
  </si>
  <si>
    <t>0319</t>
  </si>
  <si>
    <t>Burlington city (Halton district, Ontario province)</t>
  </si>
  <si>
    <t>Lightening</t>
  </si>
  <si>
    <t>12655</t>
  </si>
  <si>
    <t>Halton (Adm2).</t>
  </si>
  <si>
    <t>2014-0009-USA</t>
  </si>
  <si>
    <t>New York, Minnesota, Georgia, Maryland, Alaska, Alabama, Mississippi, Louisiana, North Carolina, South Carolina, Ohio, Indiana, Illinois, Pennsylvania, Michigan, New Jersey, Virginia, Kentucky, Missouri provinces</t>
  </si>
  <si>
    <t>3214;3215;3224;3227;3228;3231;3232;3234;3236;3237;3238;3239;3244;3246;3247;3249;3252;3254;3260</t>
  </si>
  <si>
    <t>Alabama, Alaska, Georgia, Illinois, Indiana, Kentucky, Louisiana, Maryland, Michigan, Minnesota, Mississippi, Missouri, New Jersey, New York, North Carolina, Ohio, Pennsylvania, South Carolina, Virginia (Adm1).</t>
  </si>
  <si>
    <t>2015-0275-CAN</t>
  </si>
  <si>
    <t>2015</t>
  </si>
  <si>
    <t>0275</t>
  </si>
  <si>
    <t>Saskatchewan, Alberta, British Columbia provinces</t>
  </si>
  <si>
    <t>Hot, dry and windy conditions</t>
  </si>
  <si>
    <t>825;826;836</t>
  </si>
  <si>
    <t>Alberta, British Columbia / Colombie-Britannique, Saskatchewan (Adm1).</t>
  </si>
  <si>
    <t>2016-0172-CAN</t>
  </si>
  <si>
    <t>2016</t>
  </si>
  <si>
    <t>Fort McMurray wildfires</t>
  </si>
  <si>
    <t>Fort McMurray city (Wood Buffalo area, Division No. 16 district, Alberta province)</t>
  </si>
  <si>
    <t>Explosion</t>
  </si>
  <si>
    <t>12535</t>
  </si>
  <si>
    <t>Division No. 16 (Adm2).</t>
  </si>
  <si>
    <t>2016-0243-CAN</t>
  </si>
  <si>
    <t>0243</t>
  </si>
  <si>
    <t>Chetwynd, Lemoray, Dawson Creek, Link Creek, Braden Road, Mackenzie, Fort St. John cities (Peace River district, British Columbia/Colombie-Britannique province)</t>
  </si>
  <si>
    <t>12560</t>
  </si>
  <si>
    <t>Peace River (Adm2).</t>
  </si>
  <si>
    <t>2014-0453-PRI</t>
  </si>
  <si>
    <t>0453</t>
  </si>
  <si>
    <t>2003-0830-USA</t>
  </si>
  <si>
    <t>0830</t>
  </si>
  <si>
    <t>Arkansas, Texas provinces</t>
  </si>
  <si>
    <t>3217;3257</t>
  </si>
  <si>
    <t>Arkansas, Texas (Adm1).</t>
  </si>
  <si>
    <t>2014-0482-USA</t>
  </si>
  <si>
    <t>0482</t>
  </si>
  <si>
    <t>Los Angeles, San Diego districts (California province), Oregon province</t>
  </si>
  <si>
    <t>28883;28901</t>
  </si>
  <si>
    <t>Oregon (Adm1). Los Angeles, San Diego (Adm2).</t>
  </si>
  <si>
    <t>2014-0263-USA</t>
  </si>
  <si>
    <t>0263</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</si>
  <si>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</si>
  <si>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2014-0126-USA</t>
  </si>
  <si>
    <t>0126</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</si>
  <si>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</si>
  <si>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3214;3217;3219;3221;3223;3224;3227;3228;3229;3230;3231;3232;3234;3236;3237;3238;3239;3240;3241;3244;3245;3246;3247;3248;3249;3250;3252;3254;3255;3256;3257;3260;3262;3263;3264</t>
  </si>
  <si>
    <t>Alabama, Arkansas, Colorado, Delaware, Florida, Georgia, Illinois, Indiana, Iowa, Kansas, Kentucky, Louisiana, Maryland, Michigan, Minnesota, Mississippi, Missouri, Montana, Nebraska, New Jersey, New Mexico, New York, North Carolina, North Dakota, Ohio, Oklahoma, Pennsylvania, South Carolina, South Dakota, Tennessee, Texas, Virginia, West Virginia, Wisconsin, Wyoming (Adm1).</t>
  </si>
  <si>
    <t>2014-0444-USA</t>
  </si>
  <si>
    <t>Arkansas, Louisiana, Alabama, Mississippi, Kentucky, Illinois, Texas provinces</t>
  </si>
  <si>
    <t>3214;3217;3227;3231;3232;3238;3257</t>
  </si>
  <si>
    <t>Alabama, Arkansas, Illinois, Kentucky, Louisiana, Mississippi, Texas (Adm1).</t>
  </si>
  <si>
    <t>2014-0318-USA</t>
  </si>
  <si>
    <t>0318</t>
  </si>
  <si>
    <t>San Francisco Bay (San Francisco district) , Napa Valley (Napa district) ; Sonoma, Solano district (California province) ; Vallejo, Mare Island cities (Solano district, California province)</t>
  </si>
  <si>
    <t>03:20</t>
  </si>
  <si>
    <t>28892;28902;28912;28913</t>
  </si>
  <si>
    <t>Napa, San Francisco, Solano, Sonoma (Adm2).</t>
  </si>
  <si>
    <t>2014-0491-USA</t>
  </si>
  <si>
    <t>0491</t>
  </si>
  <si>
    <t>Orange, Mariposa, Tuolumne, Los Angeles, San Francisco, Sacaramento districts (California province)</t>
  </si>
  <si>
    <t>Heavy rains, strong storm system</t>
  </si>
  <si>
    <t>28883;28886;28894;28898;28902;28919</t>
  </si>
  <si>
    <t>Los Angeles, Mariposa, Orange, Sacramento, San Francisco, Tuolumne (Adm2).</t>
  </si>
  <si>
    <t>2014-0192-USA</t>
  </si>
  <si>
    <t>0192</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</si>
  <si>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</si>
  <si>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3216;3219;3220;3226;3227;3228;3229;3230;3233;3235;3236;3237;3239;3240;3241;3242;3243;3244;3245;3246;3248;3249;3250;3252;3253;3255;3257;3258;3259;3263;3264</t>
  </si>
  <si>
    <t>Arizona, Colorado, Connecticut, Idaho, Illinois, Indiana, Iowa, Kansas, Maine, Massachusetts, Michigan, Minnesota, Missouri, Montana, Nebraska, Nevada, New Hampshire, New Jersey, New Mexico, New York, North Dakota, Ohio, Oklahoma, Pennsylvania, Rhode Island, South Dakota, Texas, Utah, Vermont, Wisconsin, Wyoming (Adm1).</t>
  </si>
  <si>
    <t>2014-0540-USA</t>
  </si>
  <si>
    <t>0540</t>
  </si>
  <si>
    <t>Blair area (Washington district, Nebraska province), Iowa, Kansas, Arkansas, Wyoming provinces</t>
  </si>
  <si>
    <t>3217;3229;3230;3264</t>
  </si>
  <si>
    <t>30420</t>
  </si>
  <si>
    <t>Arkansas, Iowa, Kansas, Wyoming (Adm1). Washington (Adm2).</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</si>
  <si>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</si>
  <si>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</si>
  <si>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3219;3220;3227;3228;3229;3230;3233;3235;3236;3237;3239;3240;3241;3243;3244;3245;3246;3248;3249;3250;3252;3253;3255;3257;3259;3263;3264</t>
  </si>
  <si>
    <t>Colorado, Connecticut, Illinois, Indiana, Iowa, Kansas, Maine, Massachusetts, Michigan, Minnesota, Missouri, Montana, Nebraska, New Hampshire, New Jersey, New Mexico, New York, North Dakota, Ohio, Oklahoma, Pennsylvania, Rhode Island, South Dakota, Texas, Vermont, Wisconsin, Wyoming (Adm1).</t>
  </si>
  <si>
    <t>2014-0072-USA</t>
  </si>
  <si>
    <t>0072</t>
  </si>
  <si>
    <t>District of Columbia, New York, Georgia, South Carolina, North Carolina, Pennsylvania provinces</t>
  </si>
  <si>
    <t>3222;3224;3246;3247;3252;3254</t>
  </si>
  <si>
    <t>District of Columbia, Georgia, New York, North Carolina, Pennsylvania, South Carolina (Adm1).</t>
  </si>
  <si>
    <t>2014-0052-USA</t>
  </si>
  <si>
    <t>Illinois, Indiana, Iowa, Kansas, Michigan, Minnesota, Missouri, Nebraska, North Dakota, Ohio, South Dakota, Wisconsin, Maine, Massachusetts, New Hampshire, Vermont, Rhode Island, Connecticut, New York, New Jersey, Pennsylvania, Maryland provinces</t>
  </si>
  <si>
    <t>3220;3227;3228;3229;3230;3233;3234;3235;3236;3237;3239;3241;3243;3244;3246;3248;3249;3252;3253;3255;3259;3263</t>
  </si>
  <si>
    <t>Connecticut, Illinois, Indiana, Iowa, Kansas, Maine, Maryland, Massachusetts, Michigan, Minnesota, Missouri, Nebraska, New Hampshire, New Jersey, New York, North Dakota, Ohio, Pennsylvania, Rhode Island, South Dakota, Vermont, Wisconsin (Adm1).</t>
  </si>
  <si>
    <t>2014-0053-USA</t>
  </si>
  <si>
    <t>0053</t>
  </si>
  <si>
    <t>Georgia, Alabama, Mississippi, Louisiana, North Carolina, South Carolina provinces</t>
  </si>
  <si>
    <t>3214;3224;3232;3238;3247;3254</t>
  </si>
  <si>
    <t>Alabama, Georgia, Louisiana, Mississippi, North Carolina, South Carolina (Adm1).</t>
  </si>
  <si>
    <t>2014-0100-USA</t>
  </si>
  <si>
    <t>0100</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</si>
  <si>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</si>
  <si>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3218;3219;3227;3228;3229;3230;3236;3237;3239;3240;3241;3244;3245;3246;3248;3249;3250;3252;3255;3256;3257;3263;3264</t>
  </si>
  <si>
    <t>California, Colorado, Illinois, Indiana, Iowa, Kansas, Michigan, Minnesota, Missouri, Montana, Nebraska, New Jersey, New Mexico, New York, North Dakota, Ohio, Oklahoma, Pennsylvania, South Dakota, Tennessee, Texas, Wisconsin, Wyoming (Adm1).</t>
  </si>
  <si>
    <t>2014-0459-USA</t>
  </si>
  <si>
    <t>0459</t>
  </si>
  <si>
    <t>New York, New Hampshire, Michigan provinces</t>
  </si>
  <si>
    <t>3236;3243;3246</t>
  </si>
  <si>
    <t>Michigan, New Hampshire, New York (Adm1).</t>
  </si>
  <si>
    <t>2014-0317-USA</t>
  </si>
  <si>
    <t>0317</t>
  </si>
  <si>
    <t>Illinois, Indiana, Iowa, Kansas, Michigan, Minnesota, Missouri, Nebraska, North Dakota, Ohio, South Dakota, Wisconsin, Maine, New Hampshire, Vermont, Massachusetts, Rhode Island, Connecticut, New York, New Jersey, Pennsylvanie, Maryland provinces</t>
  </si>
  <si>
    <t>Excessive rainfall</t>
  </si>
  <si>
    <t>2014-0095-USA</t>
  </si>
  <si>
    <t>0095</t>
  </si>
  <si>
    <t>Oso village (Snohomish district, Washington province)</t>
  </si>
  <si>
    <t>Heavy rains and small earthquake</t>
  </si>
  <si>
    <t>31660</t>
  </si>
  <si>
    <t>Snohomish (Adm2).</t>
  </si>
  <si>
    <t>2014-0310-USA</t>
  </si>
  <si>
    <t>Hurricane Iselle</t>
  </si>
  <si>
    <t>Hawaii province</t>
  </si>
  <si>
    <t>3225</t>
  </si>
  <si>
    <t>Hawaii (Adm1).</t>
  </si>
  <si>
    <t>2014-0165-USA</t>
  </si>
  <si>
    <t>Hutchinson district (Texas province), San Diego district (California province)</t>
  </si>
  <si>
    <t>Excessive heat, drougth and winds</t>
  </si>
  <si>
    <t>28901;31316</t>
  </si>
  <si>
    <t>Hutchinson, San Diego (Adm2).</t>
  </si>
  <si>
    <t>2014-9023-USA</t>
  </si>
  <si>
    <t>9023</t>
  </si>
  <si>
    <t>San Joaquin district (California province)</t>
  </si>
  <si>
    <t>28903</t>
  </si>
  <si>
    <t>San Joaquin (Adm2).</t>
  </si>
  <si>
    <t>2015-0211-USA</t>
  </si>
  <si>
    <t>Texas, Oklahoma, Kansas, Nebraska, Missouri, Colorado, Minnesota, South Dakota provinces</t>
  </si>
  <si>
    <t>3219;3230;3237;3239;3241;3250;3255;3257</t>
  </si>
  <si>
    <t>Colorado, Kansas, Minnesota, Missouri, Nebraska, Oklahoma, South Dakota, Texas (Adm1).</t>
  </si>
  <si>
    <t>2015-0488-USA</t>
  </si>
  <si>
    <t>0488</t>
  </si>
  <si>
    <t>Austin, Houston districts (Texas province), Lousiana province</t>
  </si>
  <si>
    <t>31207;31312</t>
  </si>
  <si>
    <t>Louisiana (Adm1). Austin, Houston (Adm2).</t>
  </si>
  <si>
    <t>2015-0155-USA</t>
  </si>
  <si>
    <t>0155</t>
  </si>
  <si>
    <t>Texas, Louisiana, Alabama, Mississippi, Kentucky, Georgia, Florida provinces</t>
  </si>
  <si>
    <t>3214;3223;3224;3231;3232;3238;3257</t>
  </si>
  <si>
    <t>Alabama, Florida, Georgia, Kentucky, Louisiana, Mississippi, Texas (Adm1).</t>
  </si>
  <si>
    <t>2015-0180-USA</t>
  </si>
  <si>
    <t>Kansas, Nebraska, Texas, Oklahoma, Minnesota, Iowa, Wisconsin provinces</t>
  </si>
  <si>
    <t>3229;3230;3237;3241;3250;3257;3263</t>
  </si>
  <si>
    <t>Iowa, Kansas, Minnesota, Nebraska, Oklahoma, Texas, Wisconsin (Adm1).</t>
  </si>
  <si>
    <t>2015-0245-USA</t>
  </si>
  <si>
    <t>Colorado, Illinois provinces</t>
  </si>
  <si>
    <t>3219;3227</t>
  </si>
  <si>
    <t>Colorado, Illinois (Adm1).</t>
  </si>
  <si>
    <t>2015-0138-USA</t>
  </si>
  <si>
    <t>0138</t>
  </si>
  <si>
    <t>Fairdale area (DeKalb district, Illinois province), Rochelle town (Ogle district, Illinois province), Missouri, North Carolina, Indiana, Ohio, Kentucky, Texas, Iowa, Arkansas, Michigan, West Virginia, Wisconsin, Pennsylvania, Oklahoma, Kansas, Tennessee provinces</t>
  </si>
  <si>
    <t>3217;3228;3229;3230;3231;3236;3239;3247;3249;3250;3252;3256;3257;3262;3263</t>
  </si>
  <si>
    <t>29292;29343</t>
  </si>
  <si>
    <t>Arkansas, Indiana, Iowa, Kansas, Kentucky, Michigan, Missouri, North Carolina, Ohio, Oklahoma, Pennsylvania, Tennessee, Texas, West Virginia, Wisconsin (Adm1). DeKalb, Ogle (Adm2).</t>
  </si>
  <si>
    <t>2015-0326-USA</t>
  </si>
  <si>
    <t>0326</t>
  </si>
  <si>
    <t>Illinois, Indiana, Wisconsin, Minnesota, Ohio, Iowa, Kentucky, Tennessee, Missouri, South Carolina, North Carolina</t>
  </si>
  <si>
    <t>3227;3228;3229;3231;3237;3239;3247;3249;3254;3256;3263</t>
  </si>
  <si>
    <t>Illinois, Indiana, Iowa, Kentucky, Minnesota, Missouri, North Carolina, Ohio, South Carolina, Tennessee, Wisconsin (Adm1).</t>
  </si>
  <si>
    <t>2015-0401-USA</t>
  </si>
  <si>
    <t>0401</t>
  </si>
  <si>
    <t>Valley Fire</t>
  </si>
  <si>
    <t>California, Idaho, Montana, Oregon, Washington provinces</t>
  </si>
  <si>
    <t>High temperature, Ligthning</t>
  </si>
  <si>
    <t>Pollution</t>
  </si>
  <si>
    <t>3218;3226;3240;3251;3261</t>
  </si>
  <si>
    <t>California, Idaho, Montana, Oregon, Washington (Adm1).</t>
  </si>
  <si>
    <t>2015-0123-USA</t>
  </si>
  <si>
    <t>0123</t>
  </si>
  <si>
    <t>Moore area (Cleveland district, Oklahoma province), Osage, Tulsa districts (Oklahoma province), Kansas, Missouri, Arkansas provinces</t>
  </si>
  <si>
    <t>3217;3230;3239</t>
  </si>
  <si>
    <t>30821;30864;30879</t>
  </si>
  <si>
    <t>Arkansas, Kansas, Missouri (Adm1). Cleveland, Osage, Tulsa (Adm2).</t>
  </si>
  <si>
    <t>2015-0400-USA</t>
  </si>
  <si>
    <t>0400</t>
  </si>
  <si>
    <t>Chicago, Lincolnwood towns (Cook district, Illinois province), Wood Dale town (DuPage district, Illinois province), Lancaster town (Coos district, New Hampshire province), Indiana, Ohio, Connecticut, Michigan, Massachusetts, Wisconsin, Rhode Island, Maine, New York provinces</t>
  </si>
  <si>
    <t>3228;3233;3235;3236;3246;3249;3253;3263</t>
  </si>
  <si>
    <t>29288;29294;30444</t>
  </si>
  <si>
    <t>Indiana, Maine, Massachusetts, Michigan, New York, Ohio, Rhode Island, Wisconsin (Adm1). Cook, Coos, DuPage (Adm2).</t>
  </si>
  <si>
    <t>2015-0565-USA</t>
  </si>
  <si>
    <t>0565</t>
  </si>
  <si>
    <t>Mississippi, Missouri, Kentucky, Tennessee, Arkansas, Alabama, Illinois, Indiana, Louisiana provinces</t>
  </si>
  <si>
    <t>Mississippi river</t>
  </si>
  <si>
    <t>3217;3227;3228;3231;3232;3238;3239;3256</t>
  </si>
  <si>
    <t>Arkansas, Illinois, Indiana, Kentucky, Louisiana, Mississippi, Missouri, Tennessee (Adm1).</t>
  </si>
  <si>
    <t>2015-0046-USA</t>
  </si>
  <si>
    <t>0046</t>
  </si>
  <si>
    <t>Storm Octavia</t>
  </si>
  <si>
    <t>Tennessee, Kansas, District of Columbia, Boston, Ohio, Virginia, Georgia, North Carolina, South Carolina provinces</t>
  </si>
  <si>
    <t>3222;3224;3230;3247;3249;3254;3256;3260</t>
  </si>
  <si>
    <t>District of Columbia, Georgia, Kansas, North Carolina, Ohio, South Carolina, Tennessee, Virginia (Adm1).</t>
  </si>
  <si>
    <t>2015-0072-USA</t>
  </si>
  <si>
    <t>Illinois, Michigan, Massachusetts, New York, Connecticut, Indiana provinces</t>
  </si>
  <si>
    <t>3220;3227;3228;3235;3236;3246</t>
  </si>
  <si>
    <t>Connecticut, Illinois, Indiana, Massachusetts, Michigan, New York (Adm1).</t>
  </si>
  <si>
    <t>2015-0558-USA</t>
  </si>
  <si>
    <t>Dallas, Ellis, Collin districts (Texas province), Mississippi, Tennessee, Arkansas, Alabama, Georgia, New Mexico, Missouri, Kentucky, Indiana, Oklahoma, Illinois provinces</t>
  </si>
  <si>
    <t>3214;3217;3224;3227;3228;3231;3238;3239;3245;3250;3256</t>
  </si>
  <si>
    <t>31242;31256;31270</t>
  </si>
  <si>
    <t>Alabama, Arkansas, Georgia, Illinois, Indiana, Kentucky, Mississippi, Missouri, New Mexico, Oklahoma, Tennessee (Adm1). Collin, Dallas, Ellis (Adm2).</t>
  </si>
  <si>
    <t>2015-0531-USA</t>
  </si>
  <si>
    <t>0531</t>
  </si>
  <si>
    <t>2015-0459-USA</t>
  </si>
  <si>
    <t>Joaquin</t>
  </si>
  <si>
    <t>South Carolina, North Carolina</t>
  </si>
  <si>
    <t>North Carolina, South Carolina (Adm1).</t>
  </si>
  <si>
    <t>2015-0026-USA</t>
  </si>
  <si>
    <t>Connecticut, Maine, Massachusetts, New Hampshire, New Jersey, New York, Rhode Island</t>
  </si>
  <si>
    <t>3220;3233;3235;3243;3244;3246;3253</t>
  </si>
  <si>
    <t>Connecticut, Maine, Massachusetts, New Hampshire, New Jersey, New York, Rhode Island (Adm1).</t>
  </si>
  <si>
    <t>2015-0212-USA</t>
  </si>
  <si>
    <t>FL-2015-000060</t>
  </si>
  <si>
    <t>Texas, Oklahoma, Colorado, Arkansas, Kansas, Louisiana, Georgia, Ohio, South Carolina</t>
  </si>
  <si>
    <t>3217;3219;3224;3230;3232;3249;3250;3254;3257</t>
  </si>
  <si>
    <t>Arkansas, Colorado, Georgia, Kansas, Louisiana, Ohio, Oklahoma, South Carolina, Texas (Adm1).</t>
  </si>
  <si>
    <t>2015-0177-USA</t>
  </si>
  <si>
    <t>Nashville town (Howard district, Arkansas province); Van town (Van Zandt district, Texas province), Delmond town (Douglas district, South Dakota province), Colorado, Oklahoma, Kansas, Iowa provinces</t>
  </si>
  <si>
    <t>3219;3229;3230;3250</t>
  </si>
  <si>
    <t>28820;31059;31433</t>
  </si>
  <si>
    <t>Colorado, Iowa, Kansas, Oklahoma (Adm1). Douglas, Howard, Van Zandt (Adm2).</t>
  </si>
  <si>
    <t>2015-0025-USA</t>
  </si>
  <si>
    <t>0025</t>
  </si>
  <si>
    <t>Illinois, Wisconsin, Pennsylvania provinces</t>
  </si>
  <si>
    <t>3227;3252;3263</t>
  </si>
  <si>
    <t>Illinois, Pennsylvania, Wisconsin (Adm1).</t>
  </si>
  <si>
    <t>2015-0073-USA</t>
  </si>
  <si>
    <t>0073</t>
  </si>
  <si>
    <t>Massachusetts, New York, Tennessee, Maryland, Virginia, Pennsylvania, Kentucky, North Carolina, Michigan, Rhode Island, New Hampshire, Ohio, South Carolina, Illinois, District of Columbia, Maine, Vermont provinces</t>
  </si>
  <si>
    <t>3222;3227;3231;3233;3234;3235;3236;3243;3246;3247;3249;3252;3253;3254;3256;3259;3260</t>
  </si>
  <si>
    <t>District of Columbia, Illinois, Kentucky, Maine, Maryland, Massachusetts, Michigan, New Hampshire, New York, North Carolina, Ohio, Pennsylvania, Rhode Island, South Carolina, Tennessee, Vermont, Virginia (Adm1).</t>
  </si>
  <si>
    <t>2015-0122-USA</t>
  </si>
  <si>
    <t>New York, Pennsylvania, Kentucky, West Virginia, Arkansas provinces</t>
  </si>
  <si>
    <t>3217;3231;3246;3252;3262</t>
  </si>
  <si>
    <t>Arkansas, Kentucky, New York, Pennsylvania, West Virginia (Adm1).</t>
  </si>
  <si>
    <t>2015-0186-USA</t>
  </si>
  <si>
    <t>0186</t>
  </si>
  <si>
    <t>San Marcos area (Hays district, Texas province), Claremore area (Hays district, Oklahoma province)</t>
  </si>
  <si>
    <t>30873;31304</t>
  </si>
  <si>
    <t>Hays, Rogers (Adm2).</t>
  </si>
  <si>
    <t>2015-0431-USA</t>
  </si>
  <si>
    <t>0431</t>
  </si>
  <si>
    <t>Hildale town (Washington district, Utah province), Las Vegas town (Clark district, Nevada province)</t>
  </si>
  <si>
    <t>Torrentila rains</t>
  </si>
  <si>
    <t>30426;31480</t>
  </si>
  <si>
    <t>Clark, Washington (Adm2).</t>
  </si>
  <si>
    <t>2015-0421-USA</t>
  </si>
  <si>
    <t>0421</t>
  </si>
  <si>
    <t>Lake, Napa, Sonoma, Butte districts (California province)</t>
  </si>
  <si>
    <t>High tempertaures, gusty winds, dry soil, vast swathes of dried vegetation and brush</t>
  </si>
  <si>
    <t>28868;28881;28892;28913</t>
  </si>
  <si>
    <t>Butte, Lake, Napa, Sonoma (Adm2).</t>
  </si>
  <si>
    <t>2015-0613-USA</t>
  </si>
  <si>
    <t>Butte fire</t>
  </si>
  <si>
    <t>Amador, Calaveras (California)</t>
  </si>
  <si>
    <t>28867;28869</t>
  </si>
  <si>
    <t>Amador, Calaveras (Adm2).</t>
  </si>
  <si>
    <t>2015-9210-USA</t>
  </si>
  <si>
    <t>9210</t>
  </si>
  <si>
    <t>California, Nevada, Oregon, Washington, Idaho, Montana, Utah, Arizona provinces</t>
  </si>
  <si>
    <t>3216;3218;3226;3240;3242;3251;3258;3261</t>
  </si>
  <si>
    <t>Arizona, California, Idaho, Montana, Nevada, Oregon, Utah, Washington (Adm1).</t>
  </si>
  <si>
    <t>2015-0312-USA</t>
  </si>
  <si>
    <t>Lake, Napa, Solano, Yolo, Modoc, Colusa districts (California province)</t>
  </si>
  <si>
    <t>Drought conditions, gusty winds, warm temperatures, lightening</t>
  </si>
  <si>
    <t>28870;28881;28889;28892;28912;28921</t>
  </si>
  <si>
    <t>Colusa, Lake, Modoc, Napa, Solano, Yolo (Adm2).</t>
  </si>
  <si>
    <t>2015-0399-USA</t>
  </si>
  <si>
    <t>0399</t>
  </si>
  <si>
    <t>Hillsborough, Pasco, Pinellas, Dixie, Taylor districts (Florida province)</t>
  </si>
  <si>
    <t>29011;29025;29048;29049;29059</t>
  </si>
  <si>
    <t>Dixie, Hillsborough, Pasco, Pinellas, Taylor (Adm2).</t>
  </si>
  <si>
    <t>2016-0012-USA</t>
  </si>
  <si>
    <t>0012</t>
  </si>
  <si>
    <t>Ventura, Orange, San Diego, Los Angles districts (California province)</t>
  </si>
  <si>
    <t>Pacific storm systems fueled by El Nino</t>
  </si>
  <si>
    <t>28883;28894;28901;28920</t>
  </si>
  <si>
    <t>Los Angeles, Orange, San Diego, Ventura (Adm2).</t>
  </si>
  <si>
    <t>2016-0203-USA</t>
  </si>
  <si>
    <t>Greenbier district (West Virginia province); Ohio, Indiana, Illinois, Wisconsin, Virginia</t>
  </si>
  <si>
    <t>3227;3228;3249;3260;3263</t>
  </si>
  <si>
    <t>31681</t>
  </si>
  <si>
    <t>Illinois, Indiana, Ohio, Virginia, Wisconsin (Adm1). Greenbrier (Adm2).</t>
  </si>
  <si>
    <t>2016-0125-USA</t>
  </si>
  <si>
    <t>0125</t>
  </si>
  <si>
    <t>Texas, Oklahoma, Arkansas, Louisiana, Mississippi, Kansas, Virginia, North Carolina, Georgia, Missouri, Illinois, West Virginia provinces</t>
  </si>
  <si>
    <t>3217;3224;3227;3230;3232;3238;3239;3247;3257;3260;3262</t>
  </si>
  <si>
    <t>Arkansas, Georgia, Illinois, Kansas, Louisiana, Mississippi, Missouri, North Carolina, Texas, Virginia, West Virginia (Adm1).</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</si>
  <si>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</si>
  <si>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</si>
  <si>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3217;3230;3232;3238;3239;3250</t>
  </si>
  <si>
    <t>31214;31242;31256;31260;31263;31383;31419;31448</t>
  </si>
  <si>
    <t>Arkansas, Kansas, Louisiana, Mississippi, Missouri, Oklahoma (Adm1). Bexar, Collin, Dallas, Denton, Dimmit, Parker, Tarrant, Wise (Adm2).</t>
  </si>
  <si>
    <t>2016-0150-USA</t>
  </si>
  <si>
    <t>0150</t>
  </si>
  <si>
    <t>Oklahoma, Colorado, Nebraska, Kansas, Iowa, Missouri, Arkansas, Illinois, Kentucky, Texas,Tennessee states</t>
  </si>
  <si>
    <t>3217;3219;3227;3229;3230;3231;3239;3241;3250;3256;3257</t>
  </si>
  <si>
    <t>Arkansas, Colorado, Illinois, Iowa, Kansas, Kentucky, Missouri, Nebraska, Oklahoma, Tennessee, Texas (Adm1).</t>
  </si>
  <si>
    <t>2016-0086-USA</t>
  </si>
  <si>
    <t>0086</t>
  </si>
  <si>
    <t>Texas, Mississippi, Louisiana, Florida provinces</t>
  </si>
  <si>
    <t>3223;3232;3238;3257</t>
  </si>
  <si>
    <t>Florida, Louisiana, Mississippi, Texas (Adm1).</t>
  </si>
  <si>
    <t>2016-0087-USA</t>
  </si>
  <si>
    <t>Texas, Oklahoma, Louisiana, Arkansas, Mississippi, Alabama, Florida provinces</t>
  </si>
  <si>
    <t>3214;3217;3223;3232;3238;3250;3257</t>
  </si>
  <si>
    <t>Alabama, Arkansas, Florida, Louisiana, Mississippi, Oklahoma, Texas (Adm1).</t>
  </si>
  <si>
    <t>2016-0124-USA</t>
  </si>
  <si>
    <t>0124</t>
  </si>
  <si>
    <t>Fayette, Grimes, Harris, Parker counties, Houston districts (Texas province)</t>
  </si>
  <si>
    <t>Torrential rrains</t>
  </si>
  <si>
    <t>31274;31292;31300;31312;31383</t>
  </si>
  <si>
    <t>Fayette, Grimes, Harris, Houston, Parker (Adm2).</t>
  </si>
  <si>
    <t>2016-0183-USA</t>
  </si>
  <si>
    <t>FL-2016-000056</t>
  </si>
  <si>
    <t>Texas, Oklahoma, Arkansas, Kansas, Nebraska provinces</t>
  </si>
  <si>
    <t>3217;3230;3241;3250;3257</t>
  </si>
  <si>
    <t>Arkansas, Kansas, Nebraska, Oklahoma, Texas (Adm1).</t>
  </si>
  <si>
    <t>2016-0181-USA</t>
  </si>
  <si>
    <t>0181</t>
  </si>
  <si>
    <t>Houston district (Texas province), Brenham city (Washington district, Texas province); Montana, Kansas, Missouri, Colorado</t>
  </si>
  <si>
    <t>3219;3230;3239;3240</t>
  </si>
  <si>
    <t>31312;31438</t>
  </si>
  <si>
    <t>Colorado, Kansas, Missouri, Montana (Adm1). Houston, Washington (Adm2).</t>
  </si>
  <si>
    <t>2016-0085-USA</t>
  </si>
  <si>
    <t>California, Lousiana, Texas, Arkansas, Tennessee, Mississippi, Alabama, Oklahoma, Kentucky, Ohio provinces</t>
  </si>
  <si>
    <t>3214;3217;3218;3231;3232;3238;3249;3250;3256;3257</t>
  </si>
  <si>
    <t>Alabama, Arkansas, California, Kentucky, Louisiana, Mississippi, Ohio, Oklahoma, Tennessee, Texas (Adm1).</t>
  </si>
  <si>
    <t>2016-0010-USA</t>
  </si>
  <si>
    <t>Storm Jonas (Snowzilla)</t>
  </si>
  <si>
    <t>Washington D.C. (District of Columbia district, District of Columbia province), New York, New Jersey, Pennsylvania, Maryland, Virginia, Tennessee, Kentucky, Delaware, West Virginia, Georgia, North Carolina provinces</t>
  </si>
  <si>
    <t>3221;3222;3224;3231;3234;3244;3246;3247;3252;3256;3260;3262</t>
  </si>
  <si>
    <t>Delaware, District of Columbia, Georgia, Kentucky, Maryland, New Jersey, New York, North Carolina, Pennsylvania, Tennessee, Virginia, West Virginia (Adm1).</t>
  </si>
  <si>
    <t>2016-0051-USA</t>
  </si>
  <si>
    <t>0051</t>
  </si>
  <si>
    <t>Alabama, Mississippi, Virginia, Connecticut, Florida, Georgia, Louisiana, Massachusetts, Maryland, North Carolina, New Jersey, New York, Pennsylvania, South Carolina, Texas</t>
  </si>
  <si>
    <t>3214;3220;3223;3232;3234;3235;3238;3244;3246;3247;3252;3254;3257;3260</t>
  </si>
  <si>
    <t>Alabama, Connecticut, Florida, Louisiana, Maryland, Massachusetts, Mississippi, New Jersey, New York, North Carolina, Pennsylvania, South Carolina, Texas, Virginia (Adm1).</t>
  </si>
  <si>
    <t>2016-0206-USA</t>
  </si>
  <si>
    <t>Combination of heat, extented drought and gusty winds</t>
  </si>
  <si>
    <t>2016-0264-USA</t>
  </si>
  <si>
    <t>Sand Fire</t>
  </si>
  <si>
    <t>Los Angeles, San Francisco districts (California province)</t>
  </si>
  <si>
    <t>28883;28902</t>
  </si>
  <si>
    <t>Los Angeles, San Francisco (Adm2).</t>
  </si>
  <si>
    <t>2016-0297-USA</t>
  </si>
  <si>
    <t>Clayton Fire</t>
  </si>
  <si>
    <t>Lower Lake, Clearlake (Lake district, California province)</t>
  </si>
  <si>
    <t>28881</t>
  </si>
  <si>
    <t>2016-0170-USA</t>
  </si>
  <si>
    <t>Palestine city (Anderson district, Texas province), Houston district (Texas province)</t>
  </si>
  <si>
    <t>31200;31312</t>
  </si>
  <si>
    <t>Anderson, Houston (Adm2).</t>
  </si>
  <si>
    <t>2016-0292-USA</t>
  </si>
  <si>
    <t>0292</t>
  </si>
  <si>
    <t>Louisiana, Mississippi, Missouri, Illinois, Indiana; Allamakee, Clayton, Fayette, Howard, Winneshiek counties (Iowa)</t>
  </si>
  <si>
    <t>3227;3228;3232;3238;3239</t>
  </si>
  <si>
    <t>Illinois, Indiana, Louisiana, Mississippi, Missouri (Adm1).</t>
  </si>
  <si>
    <t>2017-0271-CAN</t>
  </si>
  <si>
    <t>2017</t>
  </si>
  <si>
    <t>Gustafsen, Wildwood, Elephant Hill Fires</t>
  </si>
  <si>
    <t>Cache Creek , Ashcroft, Boston flats (Thompson Nicola), 100 Mile House , Williams Lake (Cariboo) (British Columbia)</t>
  </si>
  <si>
    <t>Weather</t>
  </si>
  <si>
    <t>12542;12566</t>
  </si>
  <si>
    <t>Cariboo, Thompson-Nicola (Adm2).</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</si>
  <si>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</si>
  <si>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</si>
  <si>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</si>
  <si>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</si>
  <si>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12545;12546;12554;12557;12559;12566;12601;12604;12607;12622;12662;12671;12677;12712;12713;12741</t>
  </si>
  <si>
    <t>Cape Breton, Central Okanagan, Columbia-Shuswap, Gatineau, Kootenay Boundary, Lanark, Laval, Montreal, North Okanagan, Okanagan-Similkameen, Ottawa, Prescott and Russell, Queens, Sunbury, Thompson-Nicola, York (Adm2).</t>
  </si>
  <si>
    <t>2017-0471-CAN</t>
  </si>
  <si>
    <t>0471</t>
  </si>
  <si>
    <t>Windsor, Tecumseh, Essex (Ontario)</t>
  </si>
  <si>
    <t>12649</t>
  </si>
  <si>
    <t>Essex (Adm2).</t>
  </si>
  <si>
    <t>2018-0299-CAN</t>
  </si>
  <si>
    <t>2018</t>
  </si>
  <si>
    <t>Colombie-Britannique</t>
  </si>
  <si>
    <t>826</t>
  </si>
  <si>
    <t>British Columbia / Colombie-Britannique (Adm1).</t>
  </si>
  <si>
    <t>2018-0366-CAN</t>
  </si>
  <si>
    <t>0366</t>
  </si>
  <si>
    <t>Ottawa; Quebec province</t>
  </si>
  <si>
    <t>12671</t>
  </si>
  <si>
    <t>Quebec / Québec (Adm1). Ottawa (Adm2).</t>
  </si>
  <si>
    <t>2018-0195-CAN</t>
  </si>
  <si>
    <t>Gatineau, Montréal, Joliette, Saint-Hyacinthe, Saint-Jean-sur-Richelieu, Drummondville, Sherbrooke ,Outaouais, Laurentides, Lanaudière, Victoriaville Trois-Rivières, Québec, La Malbaie, Kamouraska, l’Abitibi-Témiscamingue, Saguenay—Lac-Saint-Jean (Quebec)</t>
  </si>
  <si>
    <t>12698;12708;12709;12711;12712;12713;12714;12717;12718;12719;12720;12723;12724;12727;12731;12735;12737;12739;12743;12745;12747;12750;12755;12758;12759;12760;12764;12767;12769;12773;12777;12778;12788</t>
  </si>
  <si>
    <t>Arthabaska, Charlevoix, Charlevoix-Est, D'Autray, Drummond, Francheville, Gatineau, Joliette, Kamouraska, L'??le-d'Orl??ans, L'Assomption, La C??te-de-Beaupr??, La Jacques-Cartier, La Tuque, La Vall??e-de-la-Gatineau, Lac-Saint-Jean-Est, Le Haut-Richelieu, Le Saguenay-et-son-Fjord, Les Collines-de-l'Outaouais, Les Laurentides, Les Maskoutains, Les Moulins, M??kinac, Maskinong??, Matawinie, Montcalm, Montreal, Papineau, Pontiac, Qu??bec, Shawinigan, Sherbrooke, T??miscamingue (Adm2).</t>
  </si>
  <si>
    <t>2018-0160-CAN</t>
  </si>
  <si>
    <t>0160</t>
  </si>
  <si>
    <t>British Columbia</t>
  </si>
  <si>
    <t>Heavy Rain and Snowmelt</t>
  </si>
  <si>
    <t>2019-0171-CAN</t>
  </si>
  <si>
    <t>2019</t>
  </si>
  <si>
    <t>Ontario, Nouveau-Brunswick, Quebec</t>
  </si>
  <si>
    <t>Incresaing temperatures and heavy rains</t>
  </si>
  <si>
    <t>St Lawrence, St John rivers</t>
  </si>
  <si>
    <t>828;833;835</t>
  </si>
  <si>
    <t>New Brunswick / Nouveau-Brunswick, Ontario, Quebec / Québec (Adm1).</t>
  </si>
  <si>
    <t>2017-0383-PRI</t>
  </si>
  <si>
    <t>Hurricane 'Maria'</t>
  </si>
  <si>
    <t>Humacao town, San Juan, Bayamon, Guajataca (north-west), Tao Baja, Culebra island, Vieques,Naguabo, Fajardo , Juncos, San Lorenzo, Ceiba cities (Humacao), Arecibo, Yabucoa Caguas towns (Guyama), Cataño (Bayamon), Aguada (Aguadilla)</t>
  </si>
  <si>
    <t>Rio Guajataca, Rio Culebrinas, Rio Gurabo, Rio Grande de Manati, Rio Cibuco, Rio Guanajibo</t>
  </si>
  <si>
    <t>2414;2415;2416;2417;2418;2421</t>
  </si>
  <si>
    <t>Aguadilla, Arecibo, Bayamon, Guayama, Humacao, San Juan (Adm1).</t>
  </si>
  <si>
    <t>2017-0381-PRI</t>
  </si>
  <si>
    <t>0381</t>
  </si>
  <si>
    <t>TC-2017-000132</t>
  </si>
  <si>
    <t>Hurricane 'Irma'</t>
  </si>
  <si>
    <t>North. Culebra and Vieques Islands</t>
  </si>
  <si>
    <t>2414;2415;2416;2418;2421</t>
  </si>
  <si>
    <t>Aguadilla, Arecibo, Bayamon, Humacao, San Juan (Adm1).</t>
  </si>
  <si>
    <t>2018-0280-PRI</t>
  </si>
  <si>
    <t>0280</t>
  </si>
  <si>
    <t>Hurricane 'Beryl'</t>
  </si>
  <si>
    <t>2018-0218-PRI</t>
  </si>
  <si>
    <t>0218</t>
  </si>
  <si>
    <t>San Juan, Las Piedras</t>
  </si>
  <si>
    <t>Storm Beryl</t>
  </si>
  <si>
    <t>2418;2421</t>
  </si>
  <si>
    <t>Humacao, San Juan (Adm1).</t>
  </si>
  <si>
    <t>2016-0322-USA</t>
  </si>
  <si>
    <t>0322</t>
  </si>
  <si>
    <t>Hurricane Hermine</t>
  </si>
  <si>
    <t>Georgia, Florida, South Carolina, New York, New Jersey; Cedar Key, Florida, Aurora (North Carolina); Virginia Tidewater region</t>
  </si>
  <si>
    <t>3223;3224;3244;3246;3247;3254</t>
  </si>
  <si>
    <t>Florida, Georgia, New Jersey, New York, North Carolina, South Carolina (Adm1).</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</si>
  <si>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</si>
  <si>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</si>
  <si>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</si>
  <si>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3229;3237;3263</t>
  </si>
  <si>
    <t>Iowa, Minnesota, Wisconsin (Adm1).</t>
  </si>
  <si>
    <t>2016-0477-USA</t>
  </si>
  <si>
    <t>Alabama, Mississippi, Tennessee, Georgia, South Carolina, Louisiana, North Carolina provinces</t>
  </si>
  <si>
    <t>3214;3224;3232;3238;3247;3254;3256</t>
  </si>
  <si>
    <t>Alabama, Georgia, Louisiana, Mississippi, North Carolina, South Carolina, Tennessee (Adm1).</t>
  </si>
  <si>
    <t>2016-0521-USA</t>
  </si>
  <si>
    <t>0521</t>
  </si>
  <si>
    <t>Northern (Missouri, Maryland, Oklahoma, Indiana, Michigan, New Mexico, Ohio, Virginia)</t>
  </si>
  <si>
    <t>3228;3234;3236;3239;3245;3249;3250;3260</t>
  </si>
  <si>
    <t>Indiana, Maryland, Michigan, Missouri, New Mexico, Ohio, Oklahoma, Virginia (Adm1).</t>
  </si>
  <si>
    <t>2016-0355-USA</t>
  </si>
  <si>
    <t>TC-2016-000106</t>
  </si>
  <si>
    <t>Hurricane 'Matthew'</t>
  </si>
  <si>
    <t>Florida, Georgia, South Carolina, North Carolina, Virginia provinces</t>
  </si>
  <si>
    <t>3223;3224;3247;3254;3260</t>
  </si>
  <si>
    <t>Florida, Georgia, North Carolina, South Carolina, Virginia (Adm1).</t>
  </si>
  <si>
    <t>2016-0550-USA</t>
  </si>
  <si>
    <t>Texas, Oklahoma, Kansas, Missouri, Nebraska, Illinois, Indiana, Kentucky, Ohio</t>
  </si>
  <si>
    <t>3227;3228;3230;3231;3239;3241;3249;3250;3257</t>
  </si>
  <si>
    <t>Illinois, Indiana, Kansas, Kentucky, Missouri, Nebraska, Ohio, Oklahoma, Texas (Adm1).</t>
  </si>
  <si>
    <t>2016-0493-USA</t>
  </si>
  <si>
    <t>Cushing (Oklahoma)</t>
  </si>
  <si>
    <t>2016-0463-USA</t>
  </si>
  <si>
    <t>Gatlinburg city (Sevier district, Tennessee province)</t>
  </si>
  <si>
    <t>31182</t>
  </si>
  <si>
    <t>Sevier (Adm2).</t>
  </si>
  <si>
    <t>2016-0552-USA</t>
  </si>
  <si>
    <t>0552</t>
  </si>
  <si>
    <t>Texas, Louisiana (Shreveport, Haugton), Arkansas, Mississipi</t>
  </si>
  <si>
    <t>Sabine river, Little, Red, Big Cypress Creek, Neches, Pearl, Wolf, Leaf, Ouachita</t>
  </si>
  <si>
    <t>3217;3232;3238;3257</t>
  </si>
  <si>
    <t>Arkansas, Louisiana, Mississippi, Texas (Adm1).</t>
  </si>
  <si>
    <t>2017-0039-USA</t>
  </si>
  <si>
    <t>California, Nevada, Idaho, Colorado, Utah, Oregon states</t>
  </si>
  <si>
    <t>3218;3219;3226;3242;3251;3258</t>
  </si>
  <si>
    <t>California, Colorado, Idaho, Nevada, Oregon, Utah (Adm1).</t>
  </si>
  <si>
    <t>2017-0136-USA</t>
  </si>
  <si>
    <t>0136</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</si>
  <si>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</si>
  <si>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</si>
  <si>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3214;3228;3238;3249;3252;3256;3262</t>
  </si>
  <si>
    <t>28800;28806;28836;29323;29326;29328;29330;29355;29615;29763;29824;30258;30847;31433</t>
  </si>
  <si>
    <t>Alabama, Indiana, Mississippi, Ohio, Pennsylvania, Tennessee, West Virginia (Adm1). Clay, Crawford, Labette, Lawrence, Le Flore, Logan, Macoupin, Marion, Mississippi, Morehouse, Oldham, Sangamon, St. Charles, Van Zandt (Adm2).</t>
  </si>
  <si>
    <t>2017-0336-USA</t>
  </si>
  <si>
    <t>0336</t>
  </si>
  <si>
    <t>Tulsa (Oklahoma); Texas, Louisiana, Kansas, Missouri</t>
  </si>
  <si>
    <t>3230;3232;3239;3257</t>
  </si>
  <si>
    <t>30879</t>
  </si>
  <si>
    <t>Kansas, Louisiana, Missouri, Texas (Adm1). Tulsa (Adm2).</t>
  </si>
  <si>
    <t>2017-0542-USA</t>
  </si>
  <si>
    <t>Georgia, North Carolina, Maryland, Virginia, New York, New Jersey, Massachusetts, Michigan, Texas, Mississippi, Missouri</t>
  </si>
  <si>
    <t>3224;3234;3235;3236;3238;3239;3244;3246;3247;3257;3260</t>
  </si>
  <si>
    <t>Georgia, Maryland, Massachusetts, Michigan, Mississippi, Missouri, New Jersey, New York, North Carolina, Texas, Virginia (Adm1).</t>
  </si>
  <si>
    <t>2017-0062-USA</t>
  </si>
  <si>
    <t>0062</t>
  </si>
  <si>
    <t>Center and south of California (San Diego, Los Angeles, San Francisco, Sacramento)</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</si>
  <si>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</si>
  <si>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</si>
  <si>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3217;3219;3224;3227;3228;3229;3230;3231;3232;3237;3239;3245;3246;3247;3248;3249;3250;3252;3254;3255;3256;3257;3260</t>
  </si>
  <si>
    <t>Arkansas, Colorado, Georgia, Illinois, Indiana, Iowa, Kansas, Kentucky, Louisiana, Minnesota, Missouri, New Mexico, New York, North Carolina, North Dakota, Ohio, Oklahoma, Pennsylvania, South Carolina, South Dakota, Tennessee, Texas, Virginia (Adm1).</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</si>
  <si>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</si>
  <si>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</si>
  <si>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3214;3224;3230;3231;3238;3256</t>
  </si>
  <si>
    <t>29423;30814;30816;30821;30833;30848;30849;30854;30862;31207;31211;31219;31235;31242;31256;31260;31270;31278;31283;31300;31310;31315;31325;31328;31345;31351;31369;31383;31398;31412;31419;31436;31448</t>
  </si>
  <si>
    <t>Alabama, Georgia, Kansas, Kentucky, Mississippi, Tennessee (Adm1). Austin, Baylor, Brazoria, Bryan, Canadian, Chambers, Cleveland, Collin, Dallas, Denton, Ellis, Fort Bend, Galveston, Grady, Harris, Hood, Hunt, Johnson, Kaufman, Liberty, Lincoln, Logan, Lubbock, Marion, McClain, Montgomery, Oklahoma, Parker, Rockwall, Somervell, Tarrant, Waller, Wise (Adm2).</t>
  </si>
  <si>
    <t>2017-0362-USA</t>
  </si>
  <si>
    <t>0362</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</si>
  <si>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</si>
  <si>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</si>
  <si>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</si>
  <si>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</si>
  <si>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29791;29792;29796;29800;29802;29813;29817;29819;29825;29830;29833;29847;29848;30096;31202;31203;31206;31207;31210;31212;31214;31219;31220;31225;31227;31228;31230;31235;31244;31245;31261;31274;31278;31283;31287;31288;31292;31293;31299;31300;31319;31320;31322;31324;31327;31332;31336;31342;31343;31344;31345;31348;31353;31357;31369;31375;31377;31380;31386;31395;31401;31403;31404;31427;31428;31434;31435;31436;31438;31440;31444;31446</t>
  </si>
  <si>
    <t>Acadia, Allen, Angelina, Aransas, Atascosa, Austin, Bastrop, Beauregard, Bee, Bexar, Brazoria, Brazos, Burleson, Calcasieu, Caldwell, Calhoun, Cameron, Chambers, Colorado, Comal, DeWitt, Fayette, Forrest, Fort Bend, Galveston, Goliad, Gonzales, Grimes, Guadalupe, Hardin, Harris, Iberia, Jackson, Jasper, Jefferson, Jefferson Davis, Jim Wells, Karnes, Kerr, Kleberg, Lafayette, Lavaca, Lee, Leon, Liberty, Live Oak, Madison, Matagorda, Montgomery, Natchitoches, Newton, Nueces, Orange, Polk, Rapides, Refugio, Sabine, San Jacinto, San Patricio, Trinity, Tyler, Vermilion, Vernon, Victoria, Walker, Waller, Washington, Wharton, Willacy, Wilson (Adm2).</t>
  </si>
  <si>
    <t>2017-0070-USA</t>
  </si>
  <si>
    <t>0070</t>
  </si>
  <si>
    <t>Illinois, Missouri, Indiana, Arkansas, Kentucky, Tennessee, Ohio , Georgia, Iowa, North Carolina, Virginia, Alabama, South Carolina, West Virginia, Michigan states</t>
  </si>
  <si>
    <t>3214;3217;3224;3227;3228;3229;3231;3236;3239;3247;3249;3254;3256;3260;3262</t>
  </si>
  <si>
    <t>Alabama, Arkansas, Georgia, Illinois, Indiana, Iowa, Kentucky, Michigan, Missouri, North Carolina, Ohio, South Carolina, Tennessee, Virginia, West Virginia (Adm1).</t>
  </si>
  <si>
    <t>2017-0203-USA</t>
  </si>
  <si>
    <t>Colorado, New Mexico, Texas, Oklahoma, Missouri</t>
  </si>
  <si>
    <t>3219;3239;3245;3250;3257</t>
  </si>
  <si>
    <t>Colorado, Missouri, New Mexico, Oklahoma, Texas (Adm1).</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</si>
  <si>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</si>
  <si>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</si>
  <si>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3217;3227;3228;3235;3236;3238;3241;3246;3249;3250;3252;3263</t>
  </si>
  <si>
    <t>29470;29536;29573;29640;29664;30001;30015;30061;30184;30185;30208</t>
  </si>
  <si>
    <t>Arkansas, Illinois, Indiana, Massachusetts, Michigan, Mississippi, Nebraska, New York, Ohio, Oklahoma, Pennsylvania, Wisconsin (Adm1). Appanoose, Butler, Carver, Clay, Clinton, Freeborn, Jackson, Muscatine, Pottawatomie, Sherburne, Wabaunsee (Adm2).</t>
  </si>
  <si>
    <t>2017-0253-USA</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</si>
  <si>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</si>
  <si>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3236</t>
  </si>
  <si>
    <t>29993;30001;30003;30004;30010;30018;30021;30028;30031;30039;30042;30053;30060;30061;30062;30064;30073;30077;30676;30696;30711;31040;31050;31057;31074;31771;31783</t>
  </si>
  <si>
    <t>Michigan (Adm1). Anoka, Beadle, Carver, Cavalier, Chippewa, Chisago, Clark, Dakota, Deuel, Hennepin, Isanti, Jerauld, Lac qui Parle, Le Sueur, Mille Lacs, Morton, Murray, Pierce, Ramsey, Scott, Sherburne, Sibley, St. Croix, Stark, Stearns, Washington, Wright (Adm2).</t>
  </si>
  <si>
    <t>2017-0512-USA</t>
  </si>
  <si>
    <t>0512</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</si>
  <si>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</si>
  <si>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3239</t>
  </si>
  <si>
    <t>29352;29379;29392;29412;29421;29462;30722;30723;30731;30734;30736;30741;30758;30773;30791;30793;30804;30945</t>
  </si>
  <si>
    <t>Missouri (Adm1). Ashland, Ashtabula, Blackford, Clark, Columbiana, Crawford, Delaware, Erie, Huron, Jay, Lawrence, Mercer, Richland, Sandusky, Seneca, Washington, Wayne (Adm2).</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</si>
  <si>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</si>
  <si>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</si>
  <si>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29003;29007;29008;29012;29040;29041;29045;29050;29084;29089;29127;29162;30999;31002;31007</t>
  </si>
  <si>
    <t>Beaufort, Broward, Camden, Charleston, Chatham, Clay, Colleton, Collier, Duval, Glynn, McIntosh, Miami-Dade, Monroe, Orange, Polk (Adm2).</t>
  </si>
  <si>
    <t>2017-0108-USA</t>
  </si>
  <si>
    <t>0108</t>
  </si>
  <si>
    <t>South Carolina, Georgia, North Carolina, Tennessee, Alabama, Mssissippi, Florida, Kentucky , Virginia</t>
  </si>
  <si>
    <t>3214;3223;3224;3231;3238;3247;3254;3256;3260</t>
  </si>
  <si>
    <t>Alabama, Florida, Georgia, Kentucky, Mississippi, North Carolina, South Carolina, Tennessee, Virginia (Adm1).</t>
  </si>
  <si>
    <t>2017-0022-USA</t>
  </si>
  <si>
    <t>0022</t>
  </si>
  <si>
    <t>Georgia (cook), Mississippi, Alabama, Louisiana, Florida states</t>
  </si>
  <si>
    <t>3214;3223;3224;3232;3238</t>
  </si>
  <si>
    <t>Alabama, Florida, Georgia, Louisiana, Mississippi (Adm1).</t>
  </si>
  <si>
    <t>2017-0282-USA</t>
  </si>
  <si>
    <t>0282</t>
  </si>
  <si>
    <t>Ellison Creek (Water wheel) Tonto National Forest (Gila, Arizona)</t>
  </si>
  <si>
    <t>Thunderstorm</t>
  </si>
  <si>
    <t>Ellison Creek</t>
  </si>
  <si>
    <t>28778</t>
  </si>
  <si>
    <t>Gila (Adm2).</t>
  </si>
  <si>
    <t>2017-0058-USA</t>
  </si>
  <si>
    <t>0058</t>
  </si>
  <si>
    <t>San Jose (North California)</t>
  </si>
  <si>
    <t>28907</t>
  </si>
  <si>
    <t>Santa Clara (Adm2).</t>
  </si>
  <si>
    <t>2017-0383-USA</t>
  </si>
  <si>
    <t>Jersey shore, Seaside Park, Point Pleasant Beach (Ocean), Long Branch (Monmouth) (New Jersey), Fernandina beach (Nassau-Florida)</t>
  </si>
  <si>
    <t>29042;30463;30465</t>
  </si>
  <si>
    <t>Monmouth, Nassau, Ocean (Adm2).</t>
  </si>
  <si>
    <t>2017-0410-USA</t>
  </si>
  <si>
    <t>TC-2017-000148</t>
  </si>
  <si>
    <t>Tropical depression'16/Hurricane 'Nate'</t>
  </si>
  <si>
    <t>Mexico Gulf, Louisiania, Mississippi (coastal areas, Biloxi), Alabama (Dauphin Island, Autauga, Chilton, Lowndes Counties), Florida, South Carolina (Pickens, Laurens, Spartanburg, Newberry, Greenville, Union), North Carolina (Polk, Wilkes, Ashe )</t>
  </si>
  <si>
    <t>3223;3232</t>
  </si>
  <si>
    <t>28691;28701;28733;28739;30101;30102;30108;30571;30641;30663;31015;31022;31028;31031;31034;31036</t>
  </si>
  <si>
    <t>Florida, Louisiana (Adm1). Ashe, Autauga, Chilton, Greenville, Hancock, Harrison, Jackson, Laurens, Lowndes, Mobile, Newberry, Pickens, Polk, Spartanburg, Union, Wilkes (Adm2).</t>
  </si>
  <si>
    <t>2017-0252-USA</t>
  </si>
  <si>
    <t>0252</t>
  </si>
  <si>
    <t>Wall Fire, Alamo Fire, Whittier Fire</t>
  </si>
  <si>
    <t>Butte (Oroville), San Luis Obispo, Santa Barbara (California)</t>
  </si>
  <si>
    <t>28868;28904;28906</t>
  </si>
  <si>
    <t>Butte, San Luis Obispo, Santa Barbara (Adm2).</t>
  </si>
  <si>
    <t>2017-0434-USA</t>
  </si>
  <si>
    <t>0434</t>
  </si>
  <si>
    <t>Tubbs, Atlas, Nuns Fires</t>
  </si>
  <si>
    <t>Napa, Sonoma, Mendocino, Lake, Solano, Butte, Yuba, Nevada, Humboldt, Calavaras, Orange counties (California)</t>
  </si>
  <si>
    <t>28868;28869;28876;28881;28887;28892;28893;28894;28912;28913;28922</t>
  </si>
  <si>
    <t>Butte, Calaveras, Humboldt, Lake, Mendocino, Napa, Nevada, Orange, Solano, Sonoma, Yuba (Adm2).</t>
  </si>
  <si>
    <t>2017-9550-USA</t>
  </si>
  <si>
    <t>9550</t>
  </si>
  <si>
    <t>Upper Midwest, Northern Rockies and parts of the West; North Dakota, South Dakota and Montana.</t>
  </si>
  <si>
    <t>3216;3218;3219;3226;3229;3236;3237;3240;3242;3243;3245;3248;3251;3255;3258;3261;3263;3264</t>
  </si>
  <si>
    <t>Arizona, California, Colorado, Idaho, Iowa, Michigan, Minnesota, Montana, Nevada, New Hampshire, New Mexico, North Dakota, Oregon, South Dakota, Utah, Washington, Wisconsin, Wyoming (Adm1).</t>
  </si>
  <si>
    <t>2017-0511-USA</t>
  </si>
  <si>
    <t>'Thomas'</t>
  </si>
  <si>
    <t>Ventura, Santa Barbara, Los Angeles, San Diego, Riverside counties (California)</t>
  </si>
  <si>
    <t>Droght, winds</t>
  </si>
  <si>
    <t>28883;28897;28901;28906;28920</t>
  </si>
  <si>
    <t>Los Angeles, Riverside, San Diego, Santa Barbara, Ventura (Adm2).</t>
  </si>
  <si>
    <t>2018-0111-USA</t>
  </si>
  <si>
    <t>0111</t>
  </si>
  <si>
    <t>Massachusetts, New York, Virginia, Maryland, New Hampshire, New Jersey, Pennsylvania, Connecticut, Delaware</t>
  </si>
  <si>
    <t>3220;3221;3234;3235;3243;3244;3246;3252;3260</t>
  </si>
  <si>
    <t>Connecticut, Delaware, Maryland, Massachusetts, New Hampshire, New Jersey, New York, Pennsylvania, Virginia (Adm1).</t>
  </si>
  <si>
    <t>2018-0130-USA</t>
  </si>
  <si>
    <t>0130</t>
  </si>
  <si>
    <t>Kauai Isl. (Hawai)</t>
  </si>
  <si>
    <t>29227</t>
  </si>
  <si>
    <t>Kauai (Adm2).</t>
  </si>
  <si>
    <t>2018-0146-USA</t>
  </si>
  <si>
    <t>Volcanic activity</t>
  </si>
  <si>
    <t>Lava flow</t>
  </si>
  <si>
    <t>Kilauea</t>
  </si>
  <si>
    <t>Hawaï</t>
  </si>
  <si>
    <t>2018-0258-USA</t>
  </si>
  <si>
    <t>0258</t>
  </si>
  <si>
    <t>Carr and Mendocino Complex fires</t>
  </si>
  <si>
    <t>Shasta, Trinity, Mendocino, Lake, Colusa, and Glenn counties (California)</t>
  </si>
  <si>
    <t>28870;28875;28881;28887;28909;28917</t>
  </si>
  <si>
    <t>Colusa, Glenn, Lake, Mendocino, Shasta, Trinity (Adm2).</t>
  </si>
  <si>
    <t>2018-0344-USA</t>
  </si>
  <si>
    <t>Colorado, Nebraska, Wyoming</t>
  </si>
  <si>
    <t>3219;3241;3264</t>
  </si>
  <si>
    <t>Colorado, Nebraska, Wyoming (Adm1).</t>
  </si>
  <si>
    <t>2018-0129-USA</t>
  </si>
  <si>
    <t>0129</t>
  </si>
  <si>
    <t>Louisiana, Mississippi, North Carolina, Virginia, Arkansas, Florida, Georgia, Maryland, Michigan , Missouri , New Jersey, New York,Pennsylvania , South Carolina, Texas</t>
  </si>
  <si>
    <t>3217;3223;3224;3232;3234;3236;3238;3239;3244;3246;3247;3252;3254;3257;3260</t>
  </si>
  <si>
    <t>Arkansas, Florida, Georgia, Louisiana, Maryland, Michigan, Mississippi, Missouri, New Jersey, New York, North Carolina, Pennsylvania, South Carolina, Texas, Virginia (Adm1).</t>
  </si>
  <si>
    <t>2018-0419-USA</t>
  </si>
  <si>
    <t>0419</t>
  </si>
  <si>
    <t>Bastrop, Burnet, Colorado, Fayette, Hood, Jim Wells, Kerr, Kimble, La Salle, Live Oak, Llano, Mason, McMullen, Nueces, Real, San Patricio, Travis, and Williamson counties</t>
  </si>
  <si>
    <t>31210;31226;31244;31274;31310;31324;31332;31333;31338;31348;31349;31356;31361;31377;31392;31404;31426;31445</t>
  </si>
  <si>
    <t>Bastrop, Burnet, Colorado, Fayette, Hood, Jim Wells, Kerr, Kimble, La Salle, Live Oak, Llano, Mason, McMullen, Nueces, Real, San Patricio, Travis, Williamson (Adm2).</t>
  </si>
  <si>
    <t>2018-0045-USA</t>
  </si>
  <si>
    <t>Massachusetts , New Jersey, New York, Connecticut, Maine, New Hampshire, Pennsylvania, Maryland, Rhode Island , South Carolina, Tennessee, Virginia, North Carolina, Georgia</t>
  </si>
  <si>
    <t>3220;3224;3233;3234;3235;3243;3244;3246;3247;3252;3253;3254;3256;3260</t>
  </si>
  <si>
    <t>Connecticut, Georgia, Maine, Maryland, Massachusetts, New Hampshire, New Jersey, New York, North Carolina, Pennsylvania, Rhode Island, South Carolina, Tennessee, Virginia (Adm1).</t>
  </si>
  <si>
    <t>2018-0457-USA</t>
  </si>
  <si>
    <t>0457</t>
  </si>
  <si>
    <t>New Mexico, Texas, Iowa, Minnesota, Kansas, Louisiana, Tennessee</t>
  </si>
  <si>
    <t>3229;3230;3232;3237;3245;3256;3257</t>
  </si>
  <si>
    <t>Iowa, Kansas, Louisiana, Minnesota, New Mexico, Tennessee, Texas (Adm1).</t>
  </si>
  <si>
    <t>2018-0342-USA</t>
  </si>
  <si>
    <t>Hurricane Florence</t>
  </si>
  <si>
    <t>South and North Carolina, Virginia</t>
  </si>
  <si>
    <t>2018-0010-USA</t>
  </si>
  <si>
    <t>Santa Barbara County (Montecito and Carpinteria), Los Angeles County (Burbank), Ventura (California)</t>
  </si>
  <si>
    <t>28883;28906;28920</t>
  </si>
  <si>
    <t>Los Angeles, Santa Barbara, Ventura (Adm2).</t>
  </si>
  <si>
    <t>2018-0373-USA</t>
  </si>
  <si>
    <t>0373</t>
  </si>
  <si>
    <t>Hurricane Michael</t>
  </si>
  <si>
    <t>Florida, Georgia, Alabama, North Carolina, Virginia, Maryland</t>
  </si>
  <si>
    <t>3214;3223;3224;3234;3247;3260</t>
  </si>
  <si>
    <t>Alabama, Florida, Georgia, Maryland, North Carolina, Virginia (Adm1).</t>
  </si>
  <si>
    <t>2018-0279-USA</t>
  </si>
  <si>
    <t>Pella, Marshalltown (Iowa); Missouri , Illinois, Indiana, Kansas, Kentucky, Alabama, Arkansas, Georgia, Tennessee, North Carolina, South Carolina, Viriginia, Maryland , Pennsylvania</t>
  </si>
  <si>
    <t>3214;3217;3224;3227;3228;3230;3231;3234;3239;3247;3252;3254;3256;3260</t>
  </si>
  <si>
    <t>29529;29530</t>
  </si>
  <si>
    <t>Alabama, Arkansas, Georgia, Illinois, Indiana, Kansas, Kentucky, Maryland, Missouri, North Carolina, Pennsylvania, South Carolina, Tennessee, Virginia (Adm1). Marion, Marshall (Adm2).</t>
  </si>
  <si>
    <t>2018-0046-USA</t>
  </si>
  <si>
    <t>Colorado, PLains and Midwest</t>
  </si>
  <si>
    <t>3219;3227;3228;3229;3230;3236;3237;3239;3241;3248;3249;3250;3255</t>
  </si>
  <si>
    <t>Colorado, Illinois, Indiana, Iowa, Kansas, Michigan, Minnesota, Missouri, Nebraska, North Dakota, Ohio, Oklahoma, South Dakota (Adm1).</t>
  </si>
  <si>
    <t>2018-0331-USA</t>
  </si>
  <si>
    <t>Wisconsin, Iowa, Minnesota, Missouri, Illinois, Kentucky, Pennsylvania, Arkansas, Ohio, Indiana</t>
  </si>
  <si>
    <t>Tropical Storm Gordon</t>
  </si>
  <si>
    <t>3217;3227;3228;3229;3231;3237;3239;3249;3252;3263</t>
  </si>
  <si>
    <t>Arkansas, Illinois, Indiana, Iowa, Kentucky, Minnesota, Missouri, Ohio, Pennsylvania, Wisconsin (Adm1).</t>
  </si>
  <si>
    <t>2018-0206-USA</t>
  </si>
  <si>
    <t>New York City, Washington DC, Baltimore, Maryland, Texas, Kansas, Colorado, Oklahoma, Missouri, Illinois, Indiana, Iowa, New Jesey, Pennsylvania, Virginia, West Virginia, Massachusetts, Connecticut</t>
  </si>
  <si>
    <t>3219;3220;3222;3227;3228;3229;3230;3235;3239;3244;3246;3250;3252;3257;3260;3262</t>
  </si>
  <si>
    <t>29873</t>
  </si>
  <si>
    <t>Colorado, Connecticut, District of Columbia, Illinois, Indiana, Iowa, Kansas, Massachusetts, Missouri, New Jersey, New York, Oklahoma, Pennsylvania, Texas, Virginia, West Virginia (Adm1). Baltimore (Adm2).</t>
  </si>
  <si>
    <t>2018-0170-USA</t>
  </si>
  <si>
    <t>Tropical storm 'Alberto'</t>
  </si>
  <si>
    <t>Southeast</t>
  </si>
  <si>
    <t>3214;3217;3223;3224;3231;3232;3238;3247;3254;3256;3260;3262</t>
  </si>
  <si>
    <t>Alabama, Arkansas, Florida, Georgia, Kentucky, Louisiana, Mississippi, North Carolina, South Carolina, Tennessee, Virginia, West Virginia (Adm1).</t>
  </si>
  <si>
    <t>2018-0409-USA</t>
  </si>
  <si>
    <t>Camp Fire</t>
  </si>
  <si>
    <t>Butte county (North California)</t>
  </si>
  <si>
    <t>28868</t>
  </si>
  <si>
    <t>Butte (Adm2).</t>
  </si>
  <si>
    <t>2018-9476-USA</t>
  </si>
  <si>
    <t>9476</t>
  </si>
  <si>
    <t>Nationwide</t>
  </si>
  <si>
    <t>3214;3216;3217;3218;3219;3220;3221;3222;3223;3224;3225;3226;3227;3228;3229;3230;3231;3232;3233;3234;3235;3236;3237;3238;3239;3240;3241;3242;3243;3244;3245;3246;3247;3248;3249;3250;3251;3252;3253;3254;3255;3256;3257;3258;3259;3260;3261;3262;3263;3264</t>
  </si>
  <si>
    <t>Alabama,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(Adm1).</t>
  </si>
  <si>
    <t>2018-0468-USA</t>
  </si>
  <si>
    <t>Woolsey Fire</t>
  </si>
  <si>
    <t>Thousand Oaks, Oak Park, Westlake Village, Agoura Hills, West Hills, Simi Valley, Chatsworth, Bell Canyon, Hidden Hills, Malibu and Calabasas (California)</t>
  </si>
  <si>
    <t>28883;28920</t>
  </si>
  <si>
    <t>Los Angeles, Ventura (Adm2).</t>
  </si>
  <si>
    <t>2019-0086-USA</t>
  </si>
  <si>
    <t>Amador, Glenn, Lake, Mendocino, Sonoma, Humboldt counties (California)</t>
  </si>
  <si>
    <t>28867;28875;28876;28881;28887;28913</t>
  </si>
  <si>
    <t>Amador, Glenn, Humboldt, Lake, Mendocino, Sonoma (Adm2).</t>
  </si>
  <si>
    <t>2019-0089-USA</t>
  </si>
  <si>
    <t>Tennessee, Mississippi, Alabama, Illinois, Indiana, Ohio, Connecticut, Maryland, Massachusetts, New Jersey, New-York, Pennsylvania, Virginia, West Virginia states</t>
  </si>
  <si>
    <t>3214;3220;3227;3228;3234;3235;3238;3244;3246;3249;3252;3256;3260;3262</t>
  </si>
  <si>
    <t>Alabama, Connecticut, Illinois, Indiana, Maryland, Massachusetts, Mississippi, New Jersey, New York, Ohio, Pennsylvania, Tennessee, Virginia, West Virginia (Adm1).</t>
  </si>
  <si>
    <t>2019-0045-USA</t>
  </si>
  <si>
    <t>Sand/Dust storm</t>
  </si>
  <si>
    <t>Midwest and Northeast</t>
  </si>
  <si>
    <t>3220;3227;3228;3229;3230;3233;3235;3236;3237;3239;3241;3243;3244;3246;3248;3249;3252;3253;3255;3259;3263</t>
  </si>
  <si>
    <t>Connecticut, Illinois, Indiana, Iowa, Kansas, Maine, Massachusetts, Michigan, Minnesota, Missouri, Nebraska, New Hampshire, New Jersey, New York, North Dakota, Ohio, Pennsylvania, Rhode Island, South Dakota, Vermont, Wisconsin (Adm1).</t>
  </si>
  <si>
    <t>2019-0090-USA</t>
  </si>
  <si>
    <t>0090</t>
  </si>
  <si>
    <t>Northern California</t>
  </si>
  <si>
    <t>2019-0160-USA</t>
  </si>
  <si>
    <t>Robertson, Angelina, Houston and Cherokee Counties (Texas); Louisiana, Arkansas, Mississippi, Alabama, Georgia, North Carolina, Ohio, Pennyslvania</t>
  </si>
  <si>
    <t>3214;3217;3224;3232;3238;3247;3249;3252</t>
  </si>
  <si>
    <t>31202;31236;31312;31397</t>
  </si>
  <si>
    <t>Alabama, Arkansas, Georgia, Louisiana, Mississippi, North Carolina, Ohio, Pennsylvania (Adm1). Angelina, Cherokee, Houston, Robertson (Adm2).</t>
  </si>
  <si>
    <t>2019-0250-USA</t>
  </si>
  <si>
    <t>0250</t>
  </si>
  <si>
    <t>Jefferson city, Golden (Barry county), Carl Junction (Jasper county), Missouri state</t>
  </si>
  <si>
    <t>30165;30209;30210</t>
  </si>
  <si>
    <t>Barry, Jasper, Jefferson (Adm2).</t>
  </si>
  <si>
    <t>2019-0116-USA</t>
  </si>
  <si>
    <t>0116</t>
  </si>
  <si>
    <t>Nebraska, Iowa, Wisconsin, Missouri, Kansas, Illinois, Minnesota, South Dakota, North Dakota, Michigan</t>
  </si>
  <si>
    <t>Fast snowmelt</t>
  </si>
  <si>
    <t>3227;3229;3230;3236;3237;3239;3241;3248;3255;3263</t>
  </si>
  <si>
    <t>Illinois, Iowa, Kansas, Michigan, Minnesota, Missouri, Nebraska, North Dakota, South Dakota, Wisconsin (Adm1).</t>
  </si>
  <si>
    <t>2019-0046-USA</t>
  </si>
  <si>
    <t>Upper midwest</t>
  </si>
  <si>
    <t>3229;3236;3237;3248;3255;3263</t>
  </si>
  <si>
    <t>Iowa, Michigan, Minnesota, North Dakota, South Dakota, Wisconsin (Adm1).</t>
  </si>
  <si>
    <t>2019-0184-USA</t>
  </si>
  <si>
    <t>Texas, Lousiana states</t>
  </si>
  <si>
    <t>3232;3257</t>
  </si>
  <si>
    <t>Louisiana, Texas (Adm1).</t>
  </si>
  <si>
    <t>2019-0532-CAN</t>
  </si>
  <si>
    <t>0532</t>
  </si>
  <si>
    <t>Bromont, Sherbrooke (Quebec); Ontario</t>
  </si>
  <si>
    <t>12706;12735</t>
  </si>
  <si>
    <t>Ontario (Adm1). Brome-Missisquoi, Sherbrooke (Adm2).</t>
  </si>
  <si>
    <t>2019-0007-USA</t>
  </si>
  <si>
    <t>0007</t>
  </si>
  <si>
    <t>Missouri, Illinois, Iowa, Kansas, Nebraska, Washington DC, Virginia, Colorado, North, South Carolina</t>
  </si>
  <si>
    <t>3219;3222;3227;3229;3230;3239;3241;3247;3254;3260</t>
  </si>
  <si>
    <t>Colorado, District of Columbia, Illinois, Iowa, Kansas, Missouri, Nebraska, North Carolina, South Carolina, Virginia (Adm1).</t>
  </si>
  <si>
    <t>2019-0081-USA</t>
  </si>
  <si>
    <t>0081</t>
  </si>
  <si>
    <t>Alabama, Georgia, South Carolina, Florida, Mississippi,</t>
  </si>
  <si>
    <t>3214;3223;3224;3238;3254</t>
  </si>
  <si>
    <t>Alabama, Florida, Georgia, Mississippi, South Carolina (Adm1).</t>
  </si>
  <si>
    <t>2019-0306-USA</t>
  </si>
  <si>
    <t>0306</t>
  </si>
  <si>
    <t>Ridgecrest (Califronia)</t>
  </si>
  <si>
    <t>20:19</t>
  </si>
  <si>
    <t>28879</t>
  </si>
  <si>
    <t>Kern (Adm2).</t>
  </si>
  <si>
    <t>2019-0307-USA</t>
  </si>
  <si>
    <t>Lincolnton region (Lincoln County, North Carolina)</t>
  </si>
  <si>
    <t>Catawba river</t>
  </si>
  <si>
    <t>30621</t>
  </si>
  <si>
    <t>2020-0266-CAN</t>
  </si>
  <si>
    <t>2020</t>
  </si>
  <si>
    <t>Calgary (Alberta)</t>
  </si>
  <si>
    <t>2020-0191-CAN</t>
  </si>
  <si>
    <t>0191</t>
  </si>
  <si>
    <t>Alberta</t>
  </si>
  <si>
    <t>Rising temperatures and subsequent ice jamming</t>
  </si>
  <si>
    <t>Athabasca, Clearwater Rivers</t>
  </si>
  <si>
    <t>2021-0741-CAN</t>
  </si>
  <si>
    <t>2021</t>
  </si>
  <si>
    <t>Fraser Valley, Okanagan-Similkameen, Thompson-Nicola,Vancouver (British Columbia)</t>
  </si>
  <si>
    <t>12550;12552;12559;12566</t>
  </si>
  <si>
    <t>Fraser Valley, Greater Vancouver, Okanagan-Similkameen, Thompson-Nicola (Adm2).</t>
  </si>
  <si>
    <t>2021-0367-CAN</t>
  </si>
  <si>
    <t>0367</t>
  </si>
  <si>
    <t>Lytton (British Columbia)</t>
  </si>
  <si>
    <t>2021-0369-CAN</t>
  </si>
  <si>
    <t>2021-0356-CAN</t>
  </si>
  <si>
    <t>0356</t>
  </si>
  <si>
    <t>Montreal City area (Quebec)</t>
  </si>
  <si>
    <t>2019-0624-USA</t>
  </si>
  <si>
    <t>0624</t>
  </si>
  <si>
    <t>Missouri, Nebraska, Indiana, Kansas, Louisiana, Mississippi, Alabama, Florida, Georgia</t>
  </si>
  <si>
    <t>3214;3223;3224;3228;3230;3232;3238;3239;3241</t>
  </si>
  <si>
    <t>Alabama, Florida, Georgia, Indiana, Kansas, Louisiana, Mississippi, Missouri, Nebraska (Adm1).</t>
  </si>
  <si>
    <t>2019-0593-USA</t>
  </si>
  <si>
    <t>0593</t>
  </si>
  <si>
    <t>Pacific Northwest, Rockies, Northern Plains, Upper Midwest, and the Northeast</t>
  </si>
  <si>
    <t>3218;3219;3220;3226;3229;3233;3235;3236;3237;3240;3243;3244;3246;3248;3251;3252;3253;3255;3258;3259;3261;3263;3264</t>
  </si>
  <si>
    <t>California, Colorado, Connecticut, Idaho, Iowa, Maine, Massachusetts, Michigan, Minnesota, Montana, New Hampshire, New Jersey, New York, North Dakota, Oregon, Pennsylvania, Rhode Island, South Dakota, Utah, Vermont, Washington, Wisconsin, Wyoming (Adm1).</t>
  </si>
  <si>
    <t>2019-0412-USA</t>
  </si>
  <si>
    <t>0412</t>
  </si>
  <si>
    <t>TC-2019-000099</t>
  </si>
  <si>
    <t>Tropical cyclone 'Dorian'</t>
  </si>
  <si>
    <t>Florida, Georgia, South Carolina, North Carolina, Virginia</t>
  </si>
  <si>
    <t>2019-0417-USA</t>
  </si>
  <si>
    <t>Tropical storm ' Imelda'</t>
  </si>
  <si>
    <t>Texas</t>
  </si>
  <si>
    <t>2019-0484-USA</t>
  </si>
  <si>
    <t>0484</t>
  </si>
  <si>
    <t>Texas, Arkansas, Oklahoma, Missouri, Louisiana,Tennessee.</t>
  </si>
  <si>
    <t>3217;3232;3239;3250;3256;3257</t>
  </si>
  <si>
    <t>Arkansas, Louisiana, Missouri, Oklahoma, Tennessee, Texas (Adm1).</t>
  </si>
  <si>
    <t>2019-0335-USA</t>
  </si>
  <si>
    <t>0335</t>
  </si>
  <si>
    <t>Tropical cylone 'Barry'</t>
  </si>
  <si>
    <t>Louisiana, Mississippi, Arkansas, Oklahoma, Great Lakes region</t>
  </si>
  <si>
    <t>3217;3232;3238</t>
  </si>
  <si>
    <t>Arkansas, Louisiana, Mississippi (Adm1).</t>
  </si>
  <si>
    <t>2019-0513-USA</t>
  </si>
  <si>
    <t>0513</t>
  </si>
  <si>
    <t>Saddleridge fire &amp; Sandalwood fire</t>
  </si>
  <si>
    <t>Los Angeles and Riverside counties (California)</t>
  </si>
  <si>
    <t>28883;28897</t>
  </si>
  <si>
    <t>Los Angeles, Riverside (Adm2).</t>
  </si>
  <si>
    <t>2019-0517-USA</t>
  </si>
  <si>
    <t>0517</t>
  </si>
  <si>
    <t>Kincade Fire</t>
  </si>
  <si>
    <t>Los Angeles, San Bernardino, Ventura, Sonoma Counties (California)</t>
  </si>
  <si>
    <t>28883;28900;28913;28920</t>
  </si>
  <si>
    <t>Los Angeles, San Bernardino, Sonoma, Ventura (Adm2).</t>
  </si>
  <si>
    <t>2020-0583-USA</t>
  </si>
  <si>
    <t>Oklahoma, Arkansas, Indiana, Tennessee, Alabama, Georgia, Florida, South Carolina, Texas, Illinois, North Carolina</t>
  </si>
  <si>
    <t>3214;3217;3223;3224;3227;3228;3247;3250;3254;3256;3257</t>
  </si>
  <si>
    <t>Alabama, Arkansas, Florida, Georgia, Illinois, Indiana, North Carolina, Oklahoma, South Carolina, Tennessee, Texas (Adm1).</t>
  </si>
  <si>
    <t>2020-0538-USA</t>
  </si>
  <si>
    <t>0538</t>
  </si>
  <si>
    <t>Illinois, Wisconsin, North Carolina, Virginia, Maryland</t>
  </si>
  <si>
    <t>3227;3234;3247;3260;3263</t>
  </si>
  <si>
    <t>Illinois, Maryland, North Carolina, Virginia, Wisconsin (Adm1).</t>
  </si>
  <si>
    <t>2020-0474-USA</t>
  </si>
  <si>
    <t>TC-2020-000218</t>
  </si>
  <si>
    <t>Hurricane 'Eta'</t>
  </si>
  <si>
    <t>Florida, North Carolina, Virginia</t>
  </si>
  <si>
    <t>3223;3247;3260</t>
  </si>
  <si>
    <t>Florida, North Carolina, Virginia (Adm1).</t>
  </si>
  <si>
    <t>2020-0158-PRI</t>
  </si>
  <si>
    <t>0158</t>
  </si>
  <si>
    <t>Ponce, Peñuelas, Guayanilla provinces</t>
  </si>
  <si>
    <t>2420</t>
  </si>
  <si>
    <t>40077;40081</t>
  </si>
  <si>
    <t>Ponce (Adm1). Guayanilla Municipio, Penuelas Municipio (Adm2).</t>
  </si>
  <si>
    <t>2020-0007-PRI</t>
  </si>
  <si>
    <t>Ponce City, San Juan, Yauco, Guayanilla, Lajas, Guanica</t>
  </si>
  <si>
    <t>Tsunami/Tidal wave</t>
  </si>
  <si>
    <t>18:26</t>
  </si>
  <si>
    <t>2420;2421</t>
  </si>
  <si>
    <t>40076;40077;40079;40084</t>
  </si>
  <si>
    <t>Ponce, San Juan (Adm1). Guanica Municipio, Guayanilla Municipio, Lajas Municipio, Yauco Municipio (Adm2).</t>
  </si>
  <si>
    <t>2020-0212-USA</t>
  </si>
  <si>
    <t>Midland Country, Edenville, Sanford (Central Michigan State)</t>
  </si>
  <si>
    <t>Michigan (Adm1).</t>
  </si>
  <si>
    <t>2020-0190-USA</t>
  </si>
  <si>
    <t>Illinois, Iowa, Wisconsin, Michigan, Indiana, Ohio, Kentucky, Arkansas, Tennessee, Missouri</t>
  </si>
  <si>
    <t>3217;3227;3228;3229;3231;3236;3239;3249;3256;3263</t>
  </si>
  <si>
    <t>Arkansas, Illinois, Indiana, Iowa, Kentucky, Michigan, Missouri, Ohio, Tennessee, Wisconsin (Adm1).</t>
  </si>
  <si>
    <t>2020-0238-USA</t>
  </si>
  <si>
    <t>Oklahoma, Missouri, Arkansas, Tennessee; Kansas, South Carolina</t>
  </si>
  <si>
    <t>3217;3230;3239;3250;3254;3256</t>
  </si>
  <si>
    <t>Arkansas, Kansas, Missouri, Oklahoma, South Carolina, Tennessee (Adm1).</t>
  </si>
  <si>
    <t>2020-9585-USA</t>
  </si>
  <si>
    <t>9585</t>
  </si>
  <si>
    <t>West and central states</t>
  </si>
  <si>
    <t>3214;3215;3216;3217;3218;3219;3225;3226;3227;3228;3229;3230;3231;3232;3236;3237;3238;3239;3240;3241;3242;3245;3248;3249;3250;3251;3255;3256;3257;3258;3261;3262;3263;3264</t>
  </si>
  <si>
    <t>Alabama, Alaska, Arizona, Arkansas, California, Colorado, Hawaii, Idaho, Illinois, Indiana, Iowa, Kansas, Kentucky, Louisiana, Michigan, Minnesota, Mississippi, Missouri, Montana, Nebraska, Nevada, New Mexico, North Dakota, Ohio, Oklahoma, Oregon, South Dakota, Tennessee, Texas, Utah, Washington, West Virginia, Wisconsin, Wyoming (Adm1).</t>
  </si>
  <si>
    <t>2020-0148-USA</t>
  </si>
  <si>
    <t>0148</t>
  </si>
  <si>
    <t>Louisiana, Texas, Mississippi, South Carolina, Georgia, Tennessee, Arkansas, North Carolina, Alabama</t>
  </si>
  <si>
    <t>3214;3217;3224;3232;3238;3247;3254;3256;3257</t>
  </si>
  <si>
    <t>Alabama, Arkansas, Georgia, Louisiana, Mississippi, North Carolina, South Carolina, Tennessee, Texas (Adm1).</t>
  </si>
  <si>
    <t>2020-0167-USA</t>
  </si>
  <si>
    <t>0167</t>
  </si>
  <si>
    <t>Texas, Oklahoma, Louisiana, Mississippi, Alabama, Georgia, Florida, Virginia</t>
  </si>
  <si>
    <t>3214;3223;3224;3232;3238;3250;3257;3260</t>
  </si>
  <si>
    <t>Alabama, Florida, Georgia, Louisiana, Mississippi, Oklahoma, Texas, Virginia (Adm1).</t>
  </si>
  <si>
    <t>2020-0011-USA</t>
  </si>
  <si>
    <t>0011</t>
  </si>
  <si>
    <t>Texas, Oklahoma, Missouri, Arkansas, Louisiana, Mississippi, Alabama, Tennessee, Kentucky, Georgia states</t>
  </si>
  <si>
    <t>3214;3217;3224;3231;3232;3238;3239;3250;3256;3257</t>
  </si>
  <si>
    <t>Alabama, Arkansas, Georgia, Kentucky, Louisiana, Mississippi, Missouri, Oklahoma, Tennessee, Texas (Adm1).</t>
  </si>
  <si>
    <t>2020-0316-USA</t>
  </si>
  <si>
    <t>0316</t>
  </si>
  <si>
    <t>2020-0412-USA</t>
  </si>
  <si>
    <t>Hurricane 'Delta'</t>
  </si>
  <si>
    <t>Louisiana, Texas, Mississippi, Georgia, North and South Carolina</t>
  </si>
  <si>
    <t>3224;3232;3238;3247;3254;3257</t>
  </si>
  <si>
    <t>Georgia, Louisiana, Mississippi, North Carolina, South Carolina, Texas (Adm1).</t>
  </si>
  <si>
    <t>2020-0438-USA</t>
  </si>
  <si>
    <t>0438</t>
  </si>
  <si>
    <t>Hurricane 'Sally'</t>
  </si>
  <si>
    <t>Alabama, Florida</t>
  </si>
  <si>
    <t>3214;3223</t>
  </si>
  <si>
    <t>Alabama, Florida (Adm1).</t>
  </si>
  <si>
    <t>2020-0483-USA</t>
  </si>
  <si>
    <t>0483</t>
  </si>
  <si>
    <t>Hurricane 'Zeta'</t>
  </si>
  <si>
    <t>Louisiana, Mississippi, Alabama, northern Georgia, south and North Carolinas</t>
  </si>
  <si>
    <t>2020-0376-USA</t>
  </si>
  <si>
    <t>0376</t>
  </si>
  <si>
    <t>Hurricane 'Laura'</t>
  </si>
  <si>
    <t>Louisiana, Texas, Arkansas, Mississippi</t>
  </si>
  <si>
    <t>Industrial accidents</t>
  </si>
  <si>
    <t>2020-0312-PRI</t>
  </si>
  <si>
    <t>Hurricane 'Isaias'</t>
  </si>
  <si>
    <t>Yauco, Jayuya, Mayagüez cities</t>
  </si>
  <si>
    <t>40080;40084;40087</t>
  </si>
  <si>
    <t>Jayuya Municipio, Mayaguez Municipio, Yauco Municipio (Adm2).</t>
  </si>
  <si>
    <t>2020-0580-USA</t>
  </si>
  <si>
    <t>Derecho</t>
  </si>
  <si>
    <t>Plains , Midwest, Mid-Atlantic</t>
  </si>
  <si>
    <t>3221;3227;3228;3229;3230;3234;3236;3237;3239;3241;3244;3246;3248;3249;3252;3255;3260;3261;3262;3263</t>
  </si>
  <si>
    <t>Delaware, Illinois, Indiana, Iowa, Kansas, Maryland, Michigan, Minnesota, Missouri, Nebraska, New Jersey, New York, North Dakota, Ohio, Pennsylvania, South Dakota, Virginia, Washington, West Virginia, Wisconsin (Adm1).</t>
  </si>
  <si>
    <t>2020-0584-USA</t>
  </si>
  <si>
    <t>0584</t>
  </si>
  <si>
    <t>South Texas</t>
  </si>
  <si>
    <t>2020-0082-USA</t>
  </si>
  <si>
    <t>0082</t>
  </si>
  <si>
    <t>Nashville (Tennessee), Kentucky, Missouri, Mississippi, Georgia, Texas Oklahoma, Illinois, Indiana, Ohio, Arkansas, West Virginia, Pennsylvania</t>
  </si>
  <si>
    <t>3217;3224;3227;3228;3231;3238;3239;3249;3250;3252;3257;3262</t>
  </si>
  <si>
    <t>Arkansas, Georgia, Illinois, Indiana, Kentucky, Mississippi, Missouri, Ohio, Oklahoma, Pennsylvania, Texas, West Virginia (Adm1).</t>
  </si>
  <si>
    <t>2020-0582-USA</t>
  </si>
  <si>
    <t>0582</t>
  </si>
  <si>
    <t>Missouri, Oklahoma, Texas, Illinois, Indiana, Ohio, Arkansas, Kentucky, Tennessee, West Virginia, Pennnsylvania</t>
  </si>
  <si>
    <t>3217;3227;3228;3231;3239;3249;3250;3252;3256;3257;3262</t>
  </si>
  <si>
    <t>Arkansas, Illinois, Indiana, Kentucky, Missouri, Ohio, Oklahoma, Pennsylvania, Tennessee, Texas, West Virginia (Adm1).</t>
  </si>
  <si>
    <t>2020-0089-USA</t>
  </si>
  <si>
    <t>Mississippi, Tennessee</t>
  </si>
  <si>
    <t>Pearl River</t>
  </si>
  <si>
    <t>Mississippi (Adm1).</t>
  </si>
  <si>
    <t>2020-0219-USA</t>
  </si>
  <si>
    <t>Tropical storm 'Cristobal'</t>
  </si>
  <si>
    <t>errebonne, Plaquemines, Lafourche Parishes (Louisiana)</t>
  </si>
  <si>
    <t>29820</t>
  </si>
  <si>
    <t>Lafourche (Adm2).</t>
  </si>
  <si>
    <t>2020-0312-USA</t>
  </si>
  <si>
    <t>North Carolina, South Carolina, New York, Maryland, Delaware, New Jersey, Connecticut, Florida, Virginia, Pennsylvania, New Hampshire</t>
  </si>
  <si>
    <t>3220;3221;3223;3234;3243;3244;3246;3247;3252;3254;3260</t>
  </si>
  <si>
    <t>Connecticut, Delaware, Florida, Maryland, New Hampshire, New Jersey, New York, North Carolina, Pennsylvania, South Carolina, Virginia (Adm1).</t>
  </si>
  <si>
    <t>2020-0441-USA</t>
  </si>
  <si>
    <t>0441</t>
  </si>
  <si>
    <t>August Complex fire</t>
  </si>
  <si>
    <t>Californie, Washington, Oregon, Colorado</t>
  </si>
  <si>
    <t>3218;3219;3251;3261</t>
  </si>
  <si>
    <t>California, Colorado, Oregon, Washington (Adm1).</t>
  </si>
  <si>
    <t>2021-0011-USA</t>
  </si>
  <si>
    <t>Oregon and Washington States</t>
  </si>
  <si>
    <t>2021-0043-USA</t>
  </si>
  <si>
    <t>0043</t>
  </si>
  <si>
    <t>San Mateo, Santa Cruz and Monterey Counties (California)</t>
  </si>
  <si>
    <t>28891;28905;28908</t>
  </si>
  <si>
    <t>Monterey, San Mateo, Santa Cruz (Adm2).</t>
  </si>
  <si>
    <t>2021-0266-USA</t>
  </si>
  <si>
    <t>Alabama, Louisiana, Mississippi, Tennessee, Georgia, Texas, Virginia, Arkansas, South Carolina, North Carolina</t>
  </si>
  <si>
    <t>3214;3217;3224;3232;3238;3247;3254;3256;3257;3260</t>
  </si>
  <si>
    <t>Alabama, Arkansas, Georgia, Louisiana, Mississippi, North Carolina, South Carolina, Tennessee, Texas, Virginia (Adm1).</t>
  </si>
  <si>
    <t>2021-0251-USA</t>
  </si>
  <si>
    <t>Texas, Oklahoma</t>
  </si>
  <si>
    <t>2021-0487-USA</t>
  </si>
  <si>
    <t>Arizona, Missouri, Nebraska, Iowa, South Dakota, North Dakota, New Mexico, Texas</t>
  </si>
  <si>
    <t>3216;3229;3239;3241;3245;3248;3255;3257</t>
  </si>
  <si>
    <t>Arizona, Iowa, Missouri, Nebraska, New Mexico, North Dakota, South Dakota, Texas (Adm1).</t>
  </si>
  <si>
    <t>2021-0037-USA</t>
  </si>
  <si>
    <t>0037</t>
  </si>
  <si>
    <t>Jefferson county (Alabama)</t>
  </si>
  <si>
    <t>28727</t>
  </si>
  <si>
    <t>Jefferson (Adm2).</t>
  </si>
  <si>
    <t>2021-0305-USA</t>
  </si>
  <si>
    <t>0305</t>
  </si>
  <si>
    <t>Storm 'Claudette'</t>
  </si>
  <si>
    <t>Near Greenville, Butler county (Alabama); Louisiane, Mississippi, Floride</t>
  </si>
  <si>
    <t>3223;3232;3238</t>
  </si>
  <si>
    <t>28697</t>
  </si>
  <si>
    <t>Florida, Louisiana, Mississippi (Adm1). Butler (Adm2).</t>
  </si>
  <si>
    <t>2021-0117-USA</t>
  </si>
  <si>
    <t>Todd, Christian, Breathitt, Lee and Magoffin Counties (Kentucky); Tennessee, West Virginia, Arkansas, Ohio, and Maryland</t>
  </si>
  <si>
    <t>Heavy rain and thunderstorm</t>
  </si>
  <si>
    <t>3217;3234;3249;3256;3262</t>
  </si>
  <si>
    <t>29683;29694;29735;29744;29780</t>
  </si>
  <si>
    <t>Arkansas, Maryland, Ohio, Tennessee, West Virginia (Adm1). Breathitt, Christian, Lee, Magoffin, Todd (Adm2).</t>
  </si>
  <si>
    <t>2021-0442-USA</t>
  </si>
  <si>
    <t>0442</t>
  </si>
  <si>
    <t>Albuquerque (New Mexico); Larimer County (Colorado); Arizona</t>
  </si>
  <si>
    <t>3216;3245</t>
  </si>
  <si>
    <t>28957</t>
  </si>
  <si>
    <t>Arizona, New Mexico (Adm1). Larimer (Adm2).</t>
  </si>
  <si>
    <t>2021-0199-USA</t>
  </si>
  <si>
    <t>0199</t>
  </si>
  <si>
    <t>Louisiana, Florida, Mississippi, Alabama</t>
  </si>
  <si>
    <t>3214;3223;3232;3238</t>
  </si>
  <si>
    <t>Alabama, Florida, Louisiana, Mississippi (Adm1).</t>
  </si>
  <si>
    <t>2021-0250-USA</t>
  </si>
  <si>
    <t>Burnet, Williamson, Travis Counties (Texas)</t>
  </si>
  <si>
    <t>31226;31426;31445</t>
  </si>
  <si>
    <t>Burnet, Travis, Williamson (Adm2).</t>
  </si>
  <si>
    <t>2021-0488-USA</t>
  </si>
  <si>
    <t>Utah, Nevada, Arizona, New Mexico</t>
  </si>
  <si>
    <t>Active monsoonal rainfall</t>
  </si>
  <si>
    <t>3216;3242;3245;3258</t>
  </si>
  <si>
    <t>Arizona, Nevada, New Mexico, Utah (Adm1).</t>
  </si>
  <si>
    <t>2021-0784-USA</t>
  </si>
  <si>
    <t>0784</t>
  </si>
  <si>
    <t>Big Island, Maui, Molokai, Oahu Island (Hawai)</t>
  </si>
  <si>
    <t>Heavy rains and strong winds</t>
  </si>
  <si>
    <t>29224;29225;29226;29228</t>
  </si>
  <si>
    <t>Hawaii, Honolulu, Kalawao, Maui (Adm2).</t>
  </si>
  <si>
    <t>2021-0096-USA</t>
  </si>
  <si>
    <t>0096</t>
  </si>
  <si>
    <t>North Carolina, Oklahoma, Arkansas, Missouri, Illinois, Kentucky, Tennessee, Louisiana, Mississippi, Colorado, Oregon, Washington, Nebraska, Texas</t>
  </si>
  <si>
    <t>Polar Vortex</t>
  </si>
  <si>
    <t>3217;3219;3227;3231;3232;3238;3239;3241;3247;3250;3251;3256;3257;3261</t>
  </si>
  <si>
    <t>Arkansas, Colorado, Illinois, Kentucky, Louisiana, Mississippi, Missouri, Nebraska, North Carolina, Oklahoma, Oregon, Tennessee, Texas, Washington (Adm1).</t>
  </si>
  <si>
    <t>2021-0178-USA</t>
  </si>
  <si>
    <t>Calhoun, Bibb, Jefferson, Shelby and Calhoun Counties (Alabama); Mississippi; Coweta and Fayette Counties (Georgia); Tennessee; Kentucky</t>
  </si>
  <si>
    <t>3231;3238;3256</t>
  </si>
  <si>
    <t>28694;28698;28719;28727;28748;29102</t>
  </si>
  <si>
    <t>Kentucky, Mississippi, Tennessee (Adm1). Bibb, Calhoun, Coweta, Fayette, Jefferson, Shelby (Adm2).</t>
  </si>
  <si>
    <t>2021-0273-USA</t>
  </si>
  <si>
    <t>0273</t>
  </si>
  <si>
    <t>East Baton Rouge Parish (eastern Louisiana); Lake Charles City (south-western Louisiana)</t>
  </si>
  <si>
    <t>29800;29807</t>
  </si>
  <si>
    <t>Calcasieu, East Baton Rouge (Adm2).</t>
  </si>
  <si>
    <t>2021-0373-USA</t>
  </si>
  <si>
    <t>Hurricane 'Elsa'</t>
  </si>
  <si>
    <t>California, Georgia, Florida, North Carolina, South Carolina</t>
  </si>
  <si>
    <t>3218;3223;3224;3247;3254</t>
  </si>
  <si>
    <t>California, Florida, Georgia, North Carolina, South Carolina (Adm1).</t>
  </si>
  <si>
    <t>2021-0531-USA</t>
  </si>
  <si>
    <t>Tropical depression 'Henri'</t>
  </si>
  <si>
    <t>Rhode Isl., Connecticut, Vermont, New York, New Jersey states</t>
  </si>
  <si>
    <t>3220;3244;3246;3253;3259</t>
  </si>
  <si>
    <t>Connecticut, New Jersey, New York, Rhode Island, Vermont (Adm1).</t>
  </si>
  <si>
    <t>2021-0532-USA</t>
  </si>
  <si>
    <t>Tropical storm 'Fred'</t>
  </si>
  <si>
    <t>Transylvania, Haywood, Swain counties (North Carolina); Florida</t>
  </si>
  <si>
    <t>Heavy rains, remnants of tropical storm Fred</t>
  </si>
  <si>
    <t>Pigeon river</t>
  </si>
  <si>
    <t>30610;30653;30654</t>
  </si>
  <si>
    <t>Florida (Adm1). Haywood, Swain, Transylvania (Adm2).</t>
  </si>
  <si>
    <t>2021-0551-USA</t>
  </si>
  <si>
    <t>0551</t>
  </si>
  <si>
    <t>Tropical storm 'Ida'</t>
  </si>
  <si>
    <t>Louisiana, New York, New Jersey, Maryland, Connecticut, Virginia, Pennsylvania, Delaware</t>
  </si>
  <si>
    <t>3220;3221;3232;3234;3244;3246;3252;3260</t>
  </si>
  <si>
    <t>Connecticut, Delaware, Louisiana, Maryland, New Jersey, New York, Pennsylvania, Virginia (Adm1).</t>
  </si>
  <si>
    <t>2021-0583-USA</t>
  </si>
  <si>
    <t>Tropical storm 'Nicholas'</t>
  </si>
  <si>
    <t>Texas, Louisiana</t>
  </si>
  <si>
    <t>2021-0211-USA</t>
  </si>
  <si>
    <t>Southern Louisiana and the Gulf Coast</t>
  </si>
  <si>
    <t>3214;3223;3232;3238;3257</t>
  </si>
  <si>
    <t>Alabama, Florida, Louisiana, Mississippi, Texas (Adm1).</t>
  </si>
  <si>
    <t>2021-0566-USA</t>
  </si>
  <si>
    <t>El Paso (Texas); Gila Bend (Arizona)</t>
  </si>
  <si>
    <t>28778;31269</t>
  </si>
  <si>
    <t>El Paso, Gila (Adm2).</t>
  </si>
  <si>
    <t>2021-0565-USA</t>
  </si>
  <si>
    <t>Wisconsin, Illinois, Indiana, Michigan, Ohio, Missouri</t>
  </si>
  <si>
    <t>3227;3228;3236;3239;3249;3263</t>
  </si>
  <si>
    <t>Illinois, Indiana, Michigan, Missouri, Ohio, Wisconsin (Adm1).</t>
  </si>
  <si>
    <t>2021-0166-USA</t>
  </si>
  <si>
    <t>Louisiana, Alabama,Mississippi</t>
  </si>
  <si>
    <t>Alabama, Louisiana, Mississippi (Adm1).</t>
  </si>
  <si>
    <t>2021-0797-USA</t>
  </si>
  <si>
    <t>0797</t>
  </si>
  <si>
    <t>Graves County, Caldwell, Hopkins, Muhlenberg, Ohio, Warren, Taylor (Kentucky); Saint Charles (Missouri); Obion (Tennessee); (Mississippi); Craighead, Poinsett, Mississippi (Arkansas); Madison (Illinois)</t>
  </si>
  <si>
    <t>3236;3263</t>
  </si>
  <si>
    <t>28805;28836;28845;29329;29687;29712;29724;29759;29762;29779;29784;30258;31170</t>
  </si>
  <si>
    <t>Michigan, Wisconsin (Adm1). Caldwell, Craighead, Graves, Hopkins, Madison, Mississippi, Muhlenberg, Obion, Ohio, Poinsett, St. Charles, Taylor, Warren (Adm2).</t>
  </si>
  <si>
    <t>2021-0059-USA</t>
  </si>
  <si>
    <t>0059</t>
  </si>
  <si>
    <t>New York, New Jersey, Pennsylvania, Virginia, Maine, Washington, Boston (Suffolk, Massachusetts)</t>
  </si>
  <si>
    <t>3233;3244;3246;3252;3260;3261</t>
  </si>
  <si>
    <t>29907</t>
  </si>
  <si>
    <t>Maine, New Jersey, New York, Pennsylvania, Virginia, Washington (Adm1). Suffolk (Adm2).</t>
  </si>
  <si>
    <t>2021-0815-USA</t>
  </si>
  <si>
    <t>0815</t>
  </si>
  <si>
    <t>Russell, Ellis, Lyon (Kansas); Floyd (Iowa); Missouri; Prowers, El Paso (Colorado); Nebraska; Freeborn (Minnesota); Wisconsin; Taos (New Mexico)</t>
  </si>
  <si>
    <t>3239;3241;3263</t>
  </si>
  <si>
    <t>28942;28972;29500;29591;29621;29649;30015;30501</t>
  </si>
  <si>
    <t>Missouri, Nebraska, Wisconsin (Adm1). El Paso, Ellis, Floyd, Freeborn, Lyon, Prowers, Russell, Taos (Adm2).</t>
  </si>
  <si>
    <t>2021-0335-USA</t>
  </si>
  <si>
    <t>Bolivar, Sunflower, Panola, and Tallahatchie Counties (Mississippi State); Arkansas, Texas</t>
  </si>
  <si>
    <t>30084;30132;30145;30146</t>
  </si>
  <si>
    <t>Arkansas, Texas (Adm1). Bolivar, Panola, Sunflower, Tallahatchie (Adm2).</t>
  </si>
  <si>
    <t>2021-0533-USA</t>
  </si>
  <si>
    <t>0533</t>
  </si>
  <si>
    <t>Dickson, Humphrey, and Hickman Counties (Tennessee)</t>
  </si>
  <si>
    <t>31126;31145;31147</t>
  </si>
  <si>
    <t>Dickson, Hickman, Humphreys (Adm2).</t>
  </si>
  <si>
    <t>2021-0562-USA</t>
  </si>
  <si>
    <t>0562</t>
  </si>
  <si>
    <t>Utah and Colorado</t>
  </si>
  <si>
    <t>3219;3258</t>
  </si>
  <si>
    <t>Colorado, Utah (Adm1).</t>
  </si>
  <si>
    <t>2021-0733-USA</t>
  </si>
  <si>
    <t>0733</t>
  </si>
  <si>
    <t>Jefferson, Shelby, Marshall, Escambia, Baldwin counties (Alabama)</t>
  </si>
  <si>
    <t>28692;28717;28727;28738;28748</t>
  </si>
  <si>
    <t>Baldwin, Escambia, Jefferson, Marshall, Shelby (Adm2).</t>
  </si>
  <si>
    <t>2021-0390-USA</t>
  </si>
  <si>
    <t>0390</t>
  </si>
  <si>
    <t>Oregon, Washington, Northern California, Idaho, Western Nevada</t>
  </si>
  <si>
    <t>3218;3226;3242;3251;3261</t>
  </si>
  <si>
    <t>California, Idaho, Nevada, Oregon, Washington (Adm1).</t>
  </si>
  <si>
    <t>2021-0433-USA</t>
  </si>
  <si>
    <t>Dixie fire</t>
  </si>
  <si>
    <t>Plumas County (California)</t>
  </si>
  <si>
    <t>Heat, drought and winds</t>
  </si>
  <si>
    <t>28896</t>
  </si>
  <si>
    <t>Plumas (Adm2).</t>
  </si>
  <si>
    <t>2021-0526-USA</t>
  </si>
  <si>
    <t>0526</t>
  </si>
  <si>
    <t>Caldor fire</t>
  </si>
  <si>
    <t>El Dorado County (California)</t>
  </si>
  <si>
    <t>28873</t>
  </si>
  <si>
    <t>El Dorado (Adm2).</t>
  </si>
  <si>
    <t>2021-0150-USA</t>
  </si>
  <si>
    <t>Hawai‘i, Maui, Kalawao, Kaua‘i, Honolulu (Oahu Island, Hawaii)</t>
  </si>
  <si>
    <t>29224;29225;29226;29227;29228</t>
  </si>
  <si>
    <t>Hawaii, Honolulu, Kalawao, Kauai, Maui (Adm2).</t>
  </si>
  <si>
    <t>2021-0193-USA</t>
  </si>
  <si>
    <t>0193</t>
  </si>
  <si>
    <t>Davidson, Rutherford, Sullivan, Wilson counties; Nashville Metropolitan Region, Lower Mississippi and Tennessee Valley (Tennessee); Arkansas, Alabama, Georgia, Mississippi, South Carolina, North Carolina, Virginia, Pennsylvania, Maryland, New Jersey</t>
  </si>
  <si>
    <t>3214;3217;3224;3234;3238;3244;3247;3252;3254;3260</t>
  </si>
  <si>
    <t>31123;31179;31186;31199</t>
  </si>
  <si>
    <t>Alabama, Arkansas, Georgia, Maryland, Mississippi, New Jersey, North Carolina, Pennsylvania, South Carolina, Virginia (Adm1). Davidson, Rutherford, Sullivan, Wilson (Adm2).</t>
  </si>
  <si>
    <t>2021-0357-USA</t>
  </si>
  <si>
    <t>0357</t>
  </si>
  <si>
    <t>Telegraph and Mescal Fires</t>
  </si>
  <si>
    <t>Pinas and Gila counties (Arizona); Montana, Utah</t>
  </si>
  <si>
    <t>3240;3258</t>
  </si>
  <si>
    <t>28778;28786</t>
  </si>
  <si>
    <t>Montana, Utah (Adm1). Gila, Pinal (Adm2).</t>
  </si>
  <si>
    <t>2021-0410-USA</t>
  </si>
  <si>
    <t>Bootleg Fire</t>
  </si>
  <si>
    <t>Arizona, California, Oregon</t>
  </si>
  <si>
    <t>3216;3218;3251</t>
  </si>
  <si>
    <t>Arizona, California, Oregon (Adm1).</t>
  </si>
  <si>
    <t>2021-0626-USA</t>
  </si>
  <si>
    <t>Fawn fire</t>
  </si>
  <si>
    <t>Shasta County (north California State)</t>
  </si>
  <si>
    <t>2021-0741-USA</t>
  </si>
  <si>
    <t>Whatcom County (northern Washington State)</t>
  </si>
  <si>
    <t>31666</t>
  </si>
  <si>
    <t>Whatcom (Adm2).</t>
  </si>
  <si>
    <t>2021-0832-USA</t>
  </si>
  <si>
    <t>0832</t>
  </si>
  <si>
    <t>Middle Fork and the Marshall wildfires</t>
  </si>
  <si>
    <t>Louisville, Superior (Boulder county, Colorado)</t>
  </si>
  <si>
    <t>154739</t>
  </si>
  <si>
    <t>Boulder (Adm2).</t>
  </si>
  <si>
    <t>2022-0091-PRI</t>
  </si>
  <si>
    <t>2022</t>
  </si>
  <si>
    <t>0091</t>
  </si>
  <si>
    <t>San Juan area</t>
  </si>
  <si>
    <t>2022-0126-USA</t>
  </si>
  <si>
    <t>Madison county (Iowa state); Illinois, Indiana, Ohio, Arkansas, Kentucky, New Hampshire, Pennsylvania, Maryland, New York, New Jersey, New England</t>
  </si>
  <si>
    <t>3217;3227;3228;3231;3234;3243;3244;3246;3249;3252</t>
  </si>
  <si>
    <t>29527</t>
  </si>
  <si>
    <t>Arkansas, Illinois, Indiana, Kentucky, Maryland, New Hampshire, New Jersey, New York, Ohio, Pennsylvania (Adm1). Madison (Adm2).</t>
  </si>
  <si>
    <t>2022-0157-USA</t>
  </si>
  <si>
    <t>0157</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</si>
  <si>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</si>
  <si>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3247;3249;3250;3254</t>
  </si>
  <si>
    <t>28694;28701;28743;28748;28751;30079;30082;30091;30093;30098;30103;30104;30110;30113;30116;30123;30131;30143;30153;30160;31210;31233;31248;31290;31293;31312;31318;31353;31354;31368;31373;31382;31400;31429;31445;31448</t>
  </si>
  <si>
    <t>North Carolina, Ohio, Oklahoma, South Carolina (Adm1). Adams, Attala, Bastrop, Bibb, Cass, Chilton, Clay, Cooke, Copiah, George, Grayson, Guadalupe, Hinds, Holmes, Houston, Jack, Jefferson, Kemper, Lauderdale, Madison, Marion, Montague, Nacogdoches, Oktibbeha, Panola, Perry, Rusk, Shelby, Smith, Talladega, Upshur, Warren, Williamson, Wise, Yazoo (Adm2).</t>
  </si>
  <si>
    <t>2022-0007-USA</t>
  </si>
  <si>
    <t>Maryland, Virginia, New Jersey, Washington D.C., Missouri, Tennessee, Georgia</t>
  </si>
  <si>
    <t>3222;3224;3234;3239;3244;3256;3260;3261</t>
  </si>
  <si>
    <t>District of Columbia, Georgia, Maryland, Missouri, New Jersey, Tennessee, Virginia, Washington (Adm1).</t>
  </si>
  <si>
    <t>2022-0244-CAN</t>
  </si>
  <si>
    <t>Ontario, Manitoba</t>
  </si>
  <si>
    <t>827;833</t>
  </si>
  <si>
    <t>Manitoba, Ontario (Adm1).</t>
  </si>
  <si>
    <t>2022-0080-USA</t>
  </si>
  <si>
    <t>Hale, Sumter, Elmore Counties (central Alabama); Rockies, Plains, Mid-Atlantic, Northeasr</t>
  </si>
  <si>
    <t>28716;28723;28750</t>
  </si>
  <si>
    <t>Elmore, Hale, Sumter (Adm2).</t>
  </si>
  <si>
    <t>2022-0132-USA</t>
  </si>
  <si>
    <t>0132</t>
  </si>
  <si>
    <t>Adkins Ave Fire and Bertha Swamp Road Fires; Cottonwood Complex Fires</t>
  </si>
  <si>
    <t>Calhoun and Gulf Counties (Florida); Reno, Harvey Counties (Kansas)</t>
  </si>
  <si>
    <t>Prolonged period of dry conditions, steady winds, and abundant fuels</t>
  </si>
  <si>
    <t>29004;29019;29605;29643</t>
  </si>
  <si>
    <t>Calhoun, Gulf, Harvey, Reno (Adm2).</t>
  </si>
  <si>
    <t>2022-0325-CAN</t>
  </si>
  <si>
    <t>0325</t>
  </si>
  <si>
    <t>Toronto, Ottawa, Montreal, Ontario, Quebec</t>
  </si>
  <si>
    <t>12671;12713</t>
  </si>
  <si>
    <t>Montreal, Ottawa (Adm2).</t>
  </si>
  <si>
    <t>2022-0818-CAN</t>
  </si>
  <si>
    <t>0818</t>
  </si>
  <si>
    <t>Storm 'Elliott'</t>
  </si>
  <si>
    <t>2022-0603-CAN</t>
  </si>
  <si>
    <t>TC-2022-000314</t>
  </si>
  <si>
    <t>Hurricane 'Fiona'</t>
  </si>
  <si>
    <t>Nova Scotia, Prince Edward Island, Newfoundland, and Quebec</t>
  </si>
  <si>
    <t>829;831;834;835</t>
  </si>
  <si>
    <t>Newfoundland and Labrador / Terre-Neuve-et-Labrador, Nova Scotia / Nouvelle-écosse, Prince Edward Island / Île-du-Prince-Edouard, Quebec / Québec (Adm1).</t>
  </si>
  <si>
    <t>2022-0266-CAN</t>
  </si>
  <si>
    <t>Southern Manitoba Province</t>
  </si>
  <si>
    <t>Heavi rains</t>
  </si>
  <si>
    <t>2022-0304-CAN</t>
  </si>
  <si>
    <t>Manitoba, northern Alberta and Northwest Territories</t>
  </si>
  <si>
    <t>Ice jams, rain and melting snow</t>
  </si>
  <si>
    <t>825;827;830</t>
  </si>
  <si>
    <t>Alberta, Manitoba, Northwest Territories / Territoires du Nord-Ouest (Adm1).</t>
  </si>
  <si>
    <t>2022-0603-PRI</t>
  </si>
  <si>
    <t>2022-0284-USA</t>
  </si>
  <si>
    <t>0284</t>
  </si>
  <si>
    <t>Texas, North Carolina, West Virginia, Minnesota, Wisconsin, Oklahoma, Ohio, Pennsylvania</t>
  </si>
  <si>
    <t>3237;3247;3249;3250;3252;3257;3262;3263</t>
  </si>
  <si>
    <t>Minnesota, North Carolina, Ohio, Oklahoma, Pennsylvania, Texas, West Virginia, Wisconsin (Adm1).</t>
  </si>
  <si>
    <t>2022-0212-USA</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</si>
  <si>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</si>
  <si>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3214;3228;3232;3238;3256</t>
  </si>
  <si>
    <t>28812;28813;28831;28848;28854;28862;29542;29717;29726;29776;30041;30810;30822;31213;31445</t>
  </si>
  <si>
    <t>Alabama, Indiana, Louisiana, Mississippi, Tennessee (Adm1). Atoka, Bell, Coal, Faulkner, Franklin, Hardin, Jefferson, Logan, Mower, Pocahontas, Prairie, Sebastian, Shelby, White, Williamson (Adm2).</t>
  </si>
  <si>
    <t>2022-0185-USA</t>
  </si>
  <si>
    <t>0185</t>
  </si>
  <si>
    <t>Washington County (Arkansas); Shelby, Chilton, Bibb Counties (Alabama); Iowa, Kansas, Missouri; Newton county (Texas); Lousiana; Bolivar, Calhoun, Hinds, Warren, Yazoo Counties (Mississippi); Trigg County (Kentucky); Washington County (Florida); Armstrong County (Pennsylvania)</t>
  </si>
  <si>
    <t>3229;3230;3232;3239</t>
  </si>
  <si>
    <t>28694;28701;28748;28861;29064;29781;30084;30085;30103;30153;30160;30923;31375</t>
  </si>
  <si>
    <t>Iowa, Kansas, Louisiana, Missouri (Adm1). Armstrong, Bibb, Bolivar, Calhoun, Chilton, Hinds, Newton, Shelby, Trigg, Warren, Washington, Yazoo (Adm2).</t>
  </si>
  <si>
    <t>2022-0818-USA</t>
  </si>
  <si>
    <t>South Dakota, Oregon, Washington, Idaho, New York, Oklahoma, Kentucky, Colorado, Connecticut, Kansas, Maryland, Missouri, North Carolina, West Virginia, Wisconsin, Georgia, New Hampshire, Ohio, Tennessee, Vermont states</t>
  </si>
  <si>
    <t>Heavy snowfall and very low temperatures</t>
  </si>
  <si>
    <t>3219;3220;3224;3226;3230;3231;3234;3239;3243;3246;3247;3249;3250;3251;3255;3256;3259;3261;3262;3263</t>
  </si>
  <si>
    <t>Colorado, Connecticut, Georgia, Idaho, Kansas, Kentucky, Maryland, Missouri, New Hampshire, New York, North Carolina, Ohio, Oklahoma, Oregon, South Dakota, Tennessee, Vermont, Washington, West Virginia, Wisconsin (Adm1).</t>
  </si>
  <si>
    <t>2022-0361-USA</t>
  </si>
  <si>
    <t>0361</t>
  </si>
  <si>
    <t>Yellowstone National Park (Wyoming, Montana and Idaho states)</t>
  </si>
  <si>
    <t>Heavy rain combined with glacier melt</t>
  </si>
  <si>
    <t>3226;3240;3264</t>
  </si>
  <si>
    <t>Idaho, Montana, Wyoming (Adm1).</t>
  </si>
  <si>
    <t>2022-0261-USA</t>
  </si>
  <si>
    <t>Andover Town (Butler County); Wichita City (Sedgwick County) - Kansas; Texas; Oklahoma</t>
  </si>
  <si>
    <t>29573;29652</t>
  </si>
  <si>
    <t>Oklahoma, Texas (Adm1). Butler, Sedgwick (Adm2).</t>
  </si>
  <si>
    <t>2022-0227-USA</t>
  </si>
  <si>
    <t>0227</t>
  </si>
  <si>
    <t>Alabama, Arkansas, Florida, Mississippi,Oklahoma, and Texas</t>
  </si>
  <si>
    <t>3214;3217;3223;3238;3250;3257</t>
  </si>
  <si>
    <t>Alabama, Arkansas, Florida, Mississippi, Oklahoma, Texas (Adm1).</t>
  </si>
  <si>
    <t>2022-0244-USA</t>
  </si>
  <si>
    <t>Nebraska, Kansas, Missouri, Dakota, Virginia, North Carolina, Texas, Montana, Minnesota</t>
  </si>
  <si>
    <t>3230;3237;3239;3240;3241;3247;3248;3255;3257;3260</t>
  </si>
  <si>
    <t>Kansas, Minnesota, Missouri, Montana, Nebraska, North Carolina, North Dakota, South Dakota, Texas, Virginia (Adm1).</t>
  </si>
  <si>
    <t>2022-9209-USA</t>
  </si>
  <si>
    <t>9209</t>
  </si>
  <si>
    <t>Nation wide; Arizona, Nevada, California, Oregon and Texas</t>
  </si>
  <si>
    <t>3216;3218;3242;3251;3257</t>
  </si>
  <si>
    <t>Arizona, California, Nevada, Oregon, Texas (Adm1).</t>
  </si>
  <si>
    <t>2022-0486-USA</t>
  </si>
  <si>
    <t>McKinney &amp; Yeti Complex fires</t>
  </si>
  <si>
    <t>Siskiyou County (California)</t>
  </si>
  <si>
    <t>Vague de chaleur, de forts vents et des orages</t>
  </si>
  <si>
    <t>28911</t>
  </si>
  <si>
    <t>Siskiyou (Adm2).</t>
  </si>
  <si>
    <t>2022-0735-USA</t>
  </si>
  <si>
    <t>0735</t>
  </si>
  <si>
    <t>Texas, Arkansas and Oklahoma</t>
  </si>
  <si>
    <t>2022-0614-USA</t>
  </si>
  <si>
    <t>TC-2022-000320</t>
  </si>
  <si>
    <t>Hurricane 'Ian'</t>
  </si>
  <si>
    <t>Charlotte and Lee Counties (Florida Peninsula); North Carolina</t>
  </si>
  <si>
    <t>3247</t>
  </si>
  <si>
    <t>29005;29032</t>
  </si>
  <si>
    <t>North Carolina (Adm1). Charlotte, Lee (Adm2).</t>
  </si>
  <si>
    <t>2022-0325-USA</t>
  </si>
  <si>
    <t>Minnesota, Kentucly, Michigan, Missouri, Illinois, Wisconsin</t>
  </si>
  <si>
    <t>3227;3231;3236;3237;3239;3263</t>
  </si>
  <si>
    <t>Illinois, Kentucky, Michigan, Minnesota, Missouri, Wisconsin (Adm1).</t>
  </si>
  <si>
    <t>2022-0193-USA</t>
  </si>
  <si>
    <t>Dallas Fort, Johnson, Collin, Smith counties (Texas); Marengo County (Alabama); Lee, Houston, Berkeley Counties (Georgia); Allendale county (South Carolina); Covington, Jefferson Davis, Lauderdale, Newton, Wayne Counties (Mississippi); Florida</t>
  </si>
  <si>
    <t>28736;29076;29140;29152;30094;30111;30116;30129;30155;30995;31242;31256;31325;31411</t>
  </si>
  <si>
    <t>Florida (Adm1). Allendale, Bleckley, Collin, Covington, Dallas, Houston, Jefferson Davis, Johnson, Lauderdale, Lee, Marengo, Newton, Smith, Wayne (Adm2).</t>
  </si>
  <si>
    <t>2022-0808-USA</t>
  </si>
  <si>
    <t>0808</t>
  </si>
  <si>
    <t>Humboldt County (California)</t>
  </si>
  <si>
    <t>02:34</t>
  </si>
  <si>
    <t>2022-0811-USA</t>
  </si>
  <si>
    <t>0811</t>
  </si>
  <si>
    <t>Louisiana, Oklahoma, Texas, Alabama, Mississippi, Georgia, Florida states</t>
  </si>
  <si>
    <t>3214;3223;3224;3232;3238;3250;3257</t>
  </si>
  <si>
    <t>Alabama, Florida, Georgia, Louisiana, Mississippi, Oklahoma, Texas (Adm1).</t>
  </si>
  <si>
    <t>2022-0734-USA</t>
  </si>
  <si>
    <t>0734</t>
  </si>
  <si>
    <t>Hurricane 'Nicole'</t>
  </si>
  <si>
    <t>Bahamas, Florida</t>
  </si>
  <si>
    <t>2022-0215-USA</t>
  </si>
  <si>
    <t>0215</t>
  </si>
  <si>
    <t>McBride, Nogal Canyon, Hermits Peak Fires</t>
  </si>
  <si>
    <t>Lincoln, San Miguel Counties (New Mexico)</t>
  </si>
  <si>
    <t>Ongoing severe drought, strong winds and low relative humidity</t>
  </si>
  <si>
    <t>28787;30486;30496</t>
  </si>
  <si>
    <t>Lincoln, San Miguel, Santa Cruz (Adm2).</t>
  </si>
  <si>
    <t>2022-0246-USA</t>
  </si>
  <si>
    <t>0246</t>
  </si>
  <si>
    <t>Calf Canyon and Hermits Peak Fires</t>
  </si>
  <si>
    <t>Mora, Colfax, Lincoln, San Miguel, Valencia Counties (New Mexico); Colorado, Nebraska</t>
  </si>
  <si>
    <t>Hot and dry conditions, severe drought, and very high winds</t>
  </si>
  <si>
    <t>3219;3241</t>
  </si>
  <si>
    <t>30476;30486;30490;30496;30504</t>
  </si>
  <si>
    <t>Colorado, Nebraska (Adm1). Colfax, Lincoln, Mora, San Miguel, Valencia (Adm2).</t>
  </si>
  <si>
    <t>2022-0266-USA</t>
  </si>
  <si>
    <t>North Dakota and northern Minnesota (central-northern USA)</t>
  </si>
  <si>
    <t>2022-0480-USA</t>
  </si>
  <si>
    <t>0480</t>
  </si>
  <si>
    <t>Kentucky, Missouri</t>
  </si>
  <si>
    <t>3231;3239</t>
  </si>
  <si>
    <t>Kentucky, Missouri (Adm1).</t>
  </si>
  <si>
    <t>010.731-8.2620.83314.10421.65514.3268.577-1.15820.40916.781012.091121.4912-5.9413-4.89149.081512.74166.691712.59180.7819-8.8420-3.92219.572210.312321.042421.402519.352624.022711.1328-2.1629-4.253010.803121.403218.95333.973411.943521.64365.243721.37380.53392.594013.864112.73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</si>
</sst>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rial"/>
      <scheme val="minor"/>
    </font>
    <font>
      <sz val="11"/>
      <color theme="1"/>
      <name val="Arial"/>
      <family val="2"/>
      <scheme val="minor"/>
    </font>
    <font>
      <sz val="11"/>
      <color theme="1"/>
      <name val="Calibri"/>
      <family val="2"/>
    </font>
    <font>
      <sz val="11"/>
      <name val="Arial"/>
      <family val="2"/>
    </font>
    <font>
      <sz val="11"/>
      <color theme="1"/>
      <name val="Arial"/>
      <family val="2"/>
      <scheme val="minor"/>
    </font>
    <font>
      <sz val="11"/>
      <color rgb="FF1F1F1F"/>
      <name val="&quot;Google Sans&quot;"/>
    </font>
    <font>
      <sz val="11"/>
      <color rgb="FF000000"/>
      <name val="Arial"/>
      <family val="2"/>
    </font>
    <font>
      <sz val="11"/>
      <color rgb="FF212121"/>
      <name val="Roboto"/>
    </font>
    <font>
      <sz val="11"/>
      <color rgb="FF212121"/>
      <name val="&quot;Courier New&quot;"/>
    </font>
    <font>
      <sz val="11"/>
      <color rgb="FF212121"/>
      <name val="Arial"/>
      <family val="2"/>
    </font>
    <font>
      <sz val="11"/>
      <color rgb="FF3C4043"/>
      <name val="Roboto"/>
    </font>
    <font>
      <sz val="9"/>
      <color rgb="FF1F1F1F"/>
      <name val="&quot;Google Sans&quot;"/>
    </font>
    <font>
      <sz val="9"/>
      <color rgb="FF000000"/>
      <name val="Roboto"/>
    </font>
    <font>
      <sz val="9"/>
      <color rgb="FF1A73E8"/>
      <name val="Roboto"/>
    </font>
    <font>
      <u/>
      <sz val="9"/>
      <color rgb="FF1A73E8"/>
      <name val="Roboto"/>
    </font>
    <font>
      <sz val="11"/>
      <color rgb="FF1A73E8"/>
      <name val="Roboto"/>
    </font>
    <font>
      <sz val="11"/>
      <color rgb="FF000000"/>
      <name val="&quot;Arial&quot;"/>
    </font>
    <font>
      <sz val="11"/>
      <color theme="1"/>
      <name val="Arial"/>
      <family val="2"/>
    </font>
    <font>
      <sz val="11"/>
      <color rgb="FF3C4043"/>
      <name val="Roboto"/>
    </font>
    <font>
      <sz val="11"/>
      <color rgb="FF212121"/>
      <name val="&quot;docs-Roboto&quot;"/>
    </font>
    <font>
      <sz val="11"/>
      <color rgb="FF212121"/>
      <name val="Monospace"/>
    </font>
    <font>
      <sz val="11"/>
      <color rgb="FF000000"/>
      <name val="&quot;Arial&quot;"/>
    </font>
  </fonts>
  <fills count="4">
    <fill>
      <patternFill patternType="none"/>
    </fill>
    <fill>
      <patternFill patternType="gray125"/>
    </fill>
    <fill>
      <patternFill patternType="solid">
        <fgColor rgb="FFDDDDEE"/>
        <bgColor rgb="FFDDDDEE"/>
      </patternFill>
    </fill>
    <fill>
      <patternFill patternType="solid">
        <fgColor rgb="FFFFFFFF"/>
        <bgColor rgb="FFFFFFFF"/>
      </patternFill>
    </fill>
  </fills>
  <borders count="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2" fillId="2" borderId="1" xfId="0" applyFont="1" applyFill="1" applyBorder="1"/>
    <xf numFmtId="0" fontId="4" fillId="3" borderId="0" xfId="0" applyFont="1" applyFill="1"/>
    <xf numFmtId="0" fontId="4" fillId="0" borderId="0" xfId="0" applyFont="1"/>
    <xf numFmtId="0" fontId="5" fillId="3" borderId="0" xfId="0" applyFont="1" applyFill="1"/>
    <xf numFmtId="0" fontId="6" fillId="0" borderId="0" xfId="0" applyFont="1"/>
    <xf numFmtId="0" fontId="7" fillId="3" borderId="0" xfId="0" applyFont="1" applyFill="1" applyAlignment="1">
      <alignment horizontal="right"/>
    </xf>
    <xf numFmtId="0" fontId="8" fillId="3" borderId="0" xfId="0" applyFont="1" applyFill="1" applyAlignment="1">
      <alignment horizontal="right"/>
    </xf>
    <xf numFmtId="0" fontId="6" fillId="0" borderId="0" xfId="0" applyFont="1" applyAlignment="1">
      <alignment horizontal="right"/>
    </xf>
    <xf numFmtId="0" fontId="9" fillId="3" borderId="0" xfId="0" applyFont="1" applyFill="1" applyAlignment="1">
      <alignment horizontal="right"/>
    </xf>
    <xf numFmtId="0" fontId="10" fillId="3" borderId="0" xfId="0" applyFont="1" applyFill="1" applyAlignment="1">
      <alignment horizontal="right"/>
    </xf>
    <xf numFmtId="0" fontId="11" fillId="3" borderId="0" xfId="0" applyFont="1" applyFill="1" applyAlignment="1">
      <alignment horizontal="right"/>
    </xf>
    <xf numFmtId="0" fontId="12" fillId="3" borderId="0" xfId="0" applyFont="1" applyFill="1" applyAlignment="1">
      <alignment horizontal="right"/>
    </xf>
    <xf numFmtId="0" fontId="13" fillId="3" borderId="0" xfId="0" applyFont="1" applyFill="1" applyAlignment="1">
      <alignment horizontal="right"/>
    </xf>
    <xf numFmtId="0" fontId="14" fillId="3" borderId="0" xfId="0" applyFont="1" applyFill="1" applyAlignment="1">
      <alignment horizontal="right"/>
    </xf>
    <xf numFmtId="0" fontId="15" fillId="0" borderId="0" xfId="0" applyFont="1" applyAlignment="1">
      <alignment horizontal="right"/>
    </xf>
    <xf numFmtId="0" fontId="8" fillId="3" borderId="5" xfId="0" applyFont="1" applyFill="1" applyBorder="1" applyAlignment="1">
      <alignment vertical="top"/>
    </xf>
    <xf numFmtId="0" fontId="16" fillId="0" borderId="0" xfId="0" applyFont="1"/>
    <xf numFmtId="0" fontId="8" fillId="3" borderId="6" xfId="0" applyFont="1" applyFill="1" applyBorder="1" applyAlignment="1">
      <alignment vertical="top"/>
    </xf>
    <xf numFmtId="0" fontId="6" fillId="3" borderId="0" xfId="0" applyFont="1" applyFill="1"/>
    <xf numFmtId="0" fontId="17" fillId="0" borderId="0" xfId="0" applyFont="1"/>
    <xf numFmtId="0" fontId="18" fillId="3" borderId="0" xfId="0" applyFont="1" applyFill="1" applyAlignment="1">
      <alignment horizontal="left"/>
    </xf>
    <xf numFmtId="0" fontId="11" fillId="3" borderId="0" xfId="0" applyFont="1" applyFill="1"/>
    <xf numFmtId="0" fontId="19" fillId="0" borderId="0" xfId="0" applyFont="1"/>
    <xf numFmtId="0" fontId="20" fillId="3" borderId="0" xfId="0" applyFont="1" applyFill="1"/>
    <xf numFmtId="0" fontId="21" fillId="0" borderId="0" xfId="0" applyFont="1"/>
    <xf numFmtId="0" fontId="2" fillId="2" borderId="2" xfId="0" applyFont="1" applyFill="1" applyBorder="1"/>
    <xf numFmtId="0" fontId="3" fillId="0" borderId="3" xfId="0" applyFont="1" applyBorder="1"/>
    <xf numFmtId="0" fontId="3" fillId="0" borderId="4" xfId="0" applyFont="1" applyBorder="1"/>
    <xf numFmtId="0" fontId="1" fillId="0" borderId="7" xfId="0" applyFont="1" applyBorder="1" applyAlignment="1">
      <alignment horizontal="right" wrapText="1"/>
    </xf>
  </cellXfs>
  <cellStyles count="1">
    <cellStyle name="Normal" xfId="0" builtinId="0"/>
  </cellStyles>
  <dxfs count="1">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61"/>
  <sheetViews>
    <sheetView tabSelected="1" topLeftCell="Z1" workbookViewId="0">
      <pane ySplit="7" topLeftCell="A8" activePane="bottomLeft" state="frozen"/>
      <selection pane="bottomLeft" activeCell="AP12" sqref="AP12"/>
    </sheetView>
  </sheetViews>
  <sheetFormatPr defaultColWidth="12.625" defaultRowHeight="15" customHeight="1"/>
  <cols>
    <col min="1" max="6" width="8.625" customWidth="1"/>
    <col min="7" max="7" width="16.125" customWidth="1"/>
    <col min="8" max="16" width="8.625" customWidth="1"/>
    <col min="17" max="17" width="13.375" customWidth="1"/>
    <col min="18" max="18" width="14.375" customWidth="1"/>
    <col min="19" max="29" width="8.625" customWidth="1"/>
    <col min="30" max="30" width="15" customWidth="1"/>
    <col min="31" max="31" width="15.25" customWidth="1"/>
    <col min="32" max="56" width="8.625" customWidth="1"/>
  </cols>
  <sheetData>
    <row r="1" spans="1:56" ht="14.25" customHeight="1">
      <c r="A1" s="1" t="s">
        <v>0</v>
      </c>
      <c r="B1" s="26" t="s">
        <v>1</v>
      </c>
      <c r="C1" s="27"/>
      <c r="D1" s="27"/>
      <c r="E1" s="28"/>
      <c r="AD1" s="2"/>
      <c r="AE1" s="2"/>
    </row>
    <row r="2" spans="1:56" ht="14.25" customHeight="1">
      <c r="A2" s="1"/>
      <c r="B2" s="26" t="s">
        <v>2</v>
      </c>
      <c r="C2" s="27"/>
      <c r="D2" s="27"/>
      <c r="E2" s="28"/>
      <c r="AD2" s="2"/>
      <c r="AE2" s="2"/>
    </row>
    <row r="3" spans="1:56" ht="14.25" customHeight="1">
      <c r="A3" s="1" t="s">
        <v>3</v>
      </c>
      <c r="B3" s="26" t="s">
        <v>4</v>
      </c>
      <c r="C3" s="27"/>
      <c r="D3" s="27"/>
      <c r="E3" s="28"/>
      <c r="AD3" s="2"/>
      <c r="AE3" s="2"/>
    </row>
    <row r="4" spans="1:56" ht="14.25" customHeight="1">
      <c r="A4" s="1" t="s">
        <v>5</v>
      </c>
      <c r="B4" s="26" t="s">
        <v>6</v>
      </c>
      <c r="C4" s="27"/>
      <c r="D4" s="27"/>
      <c r="E4" s="28"/>
      <c r="X4" s="3" t="s">
        <v>7</v>
      </c>
      <c r="AD4" s="2"/>
      <c r="AE4" s="2"/>
    </row>
    <row r="5" spans="1:56" ht="14.25" customHeight="1">
      <c r="A5" s="1" t="s">
        <v>8</v>
      </c>
      <c r="B5" s="26" t="s">
        <v>9</v>
      </c>
      <c r="C5" s="27"/>
      <c r="D5" s="27"/>
      <c r="E5" s="28"/>
      <c r="AD5" s="2"/>
      <c r="AE5" s="2"/>
    </row>
    <row r="6" spans="1:56" ht="14.25" customHeight="1">
      <c r="A6" s="1" t="s">
        <v>10</v>
      </c>
      <c r="B6" s="26" t="s">
        <v>11</v>
      </c>
      <c r="C6" s="27"/>
      <c r="D6" s="27"/>
      <c r="E6" s="28"/>
      <c r="AD6" s="2"/>
      <c r="AE6" s="2"/>
    </row>
    <row r="7" spans="1:56" ht="14.25" customHeight="1" thickBot="1">
      <c r="A7" s="3" t="s">
        <v>12</v>
      </c>
      <c r="B7" s="3" t="s">
        <v>13</v>
      </c>
      <c r="C7" s="3" t="s">
        <v>14</v>
      </c>
      <c r="D7" s="3" t="s">
        <v>15</v>
      </c>
      <c r="E7" s="3" t="s">
        <v>16</v>
      </c>
      <c r="F7" s="3" t="s">
        <v>17</v>
      </c>
      <c r="G7" s="3" t="s">
        <v>18</v>
      </c>
      <c r="H7" s="4" t="s">
        <v>19</v>
      </c>
      <c r="I7" s="3" t="s">
        <v>20</v>
      </c>
      <c r="J7" s="3" t="s">
        <v>21</v>
      </c>
      <c r="K7" s="3" t="s">
        <v>22</v>
      </c>
      <c r="L7" s="3" t="s">
        <v>23</v>
      </c>
      <c r="M7" s="3" t="s">
        <v>24</v>
      </c>
      <c r="N7" s="3" t="s">
        <v>25</v>
      </c>
      <c r="O7" s="3" t="s">
        <v>26</v>
      </c>
      <c r="P7" s="3" t="s">
        <v>27</v>
      </c>
      <c r="Q7" s="3" t="s">
        <v>28</v>
      </c>
      <c r="R7" s="3" t="s">
        <v>29</v>
      </c>
      <c r="S7" s="3" t="s">
        <v>30</v>
      </c>
      <c r="T7" s="3" t="s">
        <v>31</v>
      </c>
      <c r="U7" s="3" t="s">
        <v>32</v>
      </c>
      <c r="V7" s="3" t="s">
        <v>33</v>
      </c>
      <c r="W7" s="3" t="s">
        <v>34</v>
      </c>
      <c r="X7" s="3" t="s">
        <v>35</v>
      </c>
      <c r="Y7" s="3" t="s">
        <v>36</v>
      </c>
      <c r="Z7" s="3" t="s">
        <v>37</v>
      </c>
      <c r="AA7" s="3" t="s">
        <v>38</v>
      </c>
      <c r="AB7" s="3" t="s">
        <v>39</v>
      </c>
      <c r="AC7" s="3" t="s">
        <v>40</v>
      </c>
      <c r="AD7" s="3" t="s">
        <v>41</v>
      </c>
      <c r="AE7" s="3" t="s">
        <v>42</v>
      </c>
      <c r="AF7" s="3" t="s">
        <v>43</v>
      </c>
      <c r="AG7" s="3" t="s">
        <v>44</v>
      </c>
      <c r="AH7" s="3" t="s">
        <v>45</v>
      </c>
      <c r="AI7" s="3" t="s">
        <v>46</v>
      </c>
      <c r="AJ7" s="3" t="s">
        <v>47</v>
      </c>
      <c r="AK7" s="3" t="s">
        <v>48</v>
      </c>
      <c r="AL7" s="3" t="s">
        <v>49</v>
      </c>
      <c r="AM7" s="3" t="s">
        <v>50</v>
      </c>
      <c r="AN7" s="3" t="s">
        <v>51</v>
      </c>
      <c r="AO7" s="3" t="s">
        <v>52</v>
      </c>
      <c r="AP7" s="3" t="s">
        <v>53</v>
      </c>
      <c r="AQ7" s="3" t="s">
        <v>54</v>
      </c>
      <c r="AR7" s="3" t="s">
        <v>55</v>
      </c>
      <c r="AS7" s="3" t="s">
        <v>56</v>
      </c>
      <c r="AT7" s="3" t="s">
        <v>57</v>
      </c>
      <c r="AU7" s="3" t="s">
        <v>58</v>
      </c>
      <c r="AV7" s="3" t="s">
        <v>59</v>
      </c>
      <c r="AW7" s="3" t="s">
        <v>60</v>
      </c>
      <c r="AX7" s="3" t="s">
        <v>61</v>
      </c>
      <c r="AY7" s="3" t="s">
        <v>62</v>
      </c>
      <c r="AZ7" s="3" t="s">
        <v>63</v>
      </c>
      <c r="BA7" s="3" t="s">
        <v>64</v>
      </c>
      <c r="BB7" s="3" t="s">
        <v>65</v>
      </c>
      <c r="BC7" s="3" t="s">
        <v>66</v>
      </c>
      <c r="BD7" s="5" t="s">
        <v>67</v>
      </c>
    </row>
    <row r="8" spans="1:56" ht="14.25" customHeight="1" thickBot="1">
      <c r="A8" s="3" t="s">
        <v>68</v>
      </c>
      <c r="B8" s="3" t="s">
        <v>69</v>
      </c>
      <c r="C8" s="3" t="s">
        <v>70</v>
      </c>
      <c r="E8" s="3" t="s">
        <v>71</v>
      </c>
      <c r="F8" s="3">
        <f t="shared" ref="F8:F262" si="0">IF(G8="Hydrological",1,IF(G8="Meteorological",2,IF(G8="Climatological",3,IF(G8="Biological",4,5))))</f>
        <v>2</v>
      </c>
      <c r="G8" s="3" t="s">
        <v>72</v>
      </c>
      <c r="H8" s="3">
        <f t="shared" ref="H8:H262" si="1">IF(I8="Flood",1,IF(I8="Storm",2,IF(I8="Wildfire",3,IF(I8="Extreme temperature",4,IF(I8="Epidemic",5,IF(I8="Earthquake",6,IF(I8="Drought",7,IF(I8="Landslide",8,9))))))))</f>
        <v>2</v>
      </c>
      <c r="I8" s="3" t="s">
        <v>73</v>
      </c>
      <c r="J8" s="3" t="s">
        <v>74</v>
      </c>
      <c r="K8" s="3" t="s">
        <v>75</v>
      </c>
      <c r="M8" s="3" t="s">
        <v>76</v>
      </c>
      <c r="N8" s="3" t="s">
        <v>77</v>
      </c>
      <c r="O8" s="3" t="s">
        <v>78</v>
      </c>
      <c r="P8" s="3" t="s">
        <v>79</v>
      </c>
      <c r="Q8" s="3" t="s">
        <v>80</v>
      </c>
      <c r="S8" s="6">
        <v>6.03</v>
      </c>
      <c r="T8" s="6">
        <v>8.01</v>
      </c>
      <c r="U8" s="6">
        <v>22.2</v>
      </c>
      <c r="AB8" s="3">
        <v>300</v>
      </c>
      <c r="AC8" s="3" t="s">
        <v>81</v>
      </c>
      <c r="AD8" s="7">
        <v>52.112099999999998</v>
      </c>
      <c r="AE8" s="7">
        <v>-113.48090000000001</v>
      </c>
      <c r="AH8" s="3">
        <v>2000</v>
      </c>
      <c r="AI8" s="3">
        <v>7</v>
      </c>
      <c r="AJ8" s="8">
        <v>14</v>
      </c>
      <c r="AK8" s="3">
        <v>2000</v>
      </c>
      <c r="AL8" s="3">
        <v>7</v>
      </c>
      <c r="AM8" s="3">
        <v>14</v>
      </c>
      <c r="AN8" s="29">
        <v>11</v>
      </c>
      <c r="AO8" s="3">
        <v>140</v>
      </c>
      <c r="AQ8" s="3">
        <v>700</v>
      </c>
      <c r="AR8" s="3">
        <v>840</v>
      </c>
      <c r="AU8" s="3">
        <v>10000</v>
      </c>
      <c r="AV8" s="3">
        <v>16995</v>
      </c>
      <c r="AW8" s="3">
        <v>13000</v>
      </c>
      <c r="AX8" s="3">
        <v>22094</v>
      </c>
      <c r="AY8" s="3">
        <v>58.840648491749697</v>
      </c>
      <c r="AZ8" s="3" t="s">
        <v>82</v>
      </c>
      <c r="BB8" s="3" t="s">
        <v>83</v>
      </c>
      <c r="BC8" s="3" t="s">
        <v>84</v>
      </c>
      <c r="BD8" s="8">
        <v>3</v>
      </c>
    </row>
    <row r="9" spans="1:56" ht="14.25" customHeight="1" thickBot="1">
      <c r="A9" s="3" t="s">
        <v>85</v>
      </c>
      <c r="B9" s="3" t="s">
        <v>86</v>
      </c>
      <c r="C9" s="3" t="s">
        <v>87</v>
      </c>
      <c r="E9" s="3" t="s">
        <v>71</v>
      </c>
      <c r="F9" s="3">
        <f t="shared" si="0"/>
        <v>2</v>
      </c>
      <c r="G9" s="3" t="s">
        <v>72</v>
      </c>
      <c r="H9" s="3">
        <f t="shared" si="1"/>
        <v>2</v>
      </c>
      <c r="I9" s="3" t="s">
        <v>73</v>
      </c>
      <c r="M9" s="3" t="s">
        <v>76</v>
      </c>
      <c r="N9" s="3" t="s">
        <v>77</v>
      </c>
      <c r="O9" s="3" t="s">
        <v>78</v>
      </c>
      <c r="P9" s="3" t="s">
        <v>79</v>
      </c>
      <c r="Q9" s="3" t="s">
        <v>88</v>
      </c>
      <c r="S9" s="6">
        <v>12.79</v>
      </c>
      <c r="T9" s="6">
        <v>-29.59</v>
      </c>
      <c r="U9" s="6">
        <v>-18.97</v>
      </c>
      <c r="AB9" s="3">
        <v>120</v>
      </c>
      <c r="AC9" s="3" t="s">
        <v>81</v>
      </c>
      <c r="AD9" s="7">
        <v>52.476100000000002</v>
      </c>
      <c r="AE9" s="9">
        <v>-71.8258668</v>
      </c>
      <c r="AH9" s="3">
        <v>2001</v>
      </c>
      <c r="AI9" s="3">
        <v>2</v>
      </c>
      <c r="AJ9" s="8">
        <v>10</v>
      </c>
      <c r="AK9" s="3">
        <v>2001</v>
      </c>
      <c r="AL9" s="3">
        <v>2</v>
      </c>
      <c r="AM9" s="3">
        <v>10</v>
      </c>
      <c r="AN9" s="29">
        <v>11</v>
      </c>
      <c r="AQ9" s="3">
        <v>30</v>
      </c>
      <c r="AR9" s="3">
        <v>30</v>
      </c>
      <c r="AY9" s="3">
        <v>60.5035788853056</v>
      </c>
      <c r="AZ9" s="3" t="s">
        <v>89</v>
      </c>
      <c r="BA9" s="3" t="s">
        <v>90</v>
      </c>
      <c r="BC9" s="3" t="s">
        <v>91</v>
      </c>
      <c r="BD9" s="8">
        <v>2</v>
      </c>
    </row>
    <row r="10" spans="1:56" ht="14.25" customHeight="1" thickBot="1">
      <c r="A10" s="3" t="s">
        <v>92</v>
      </c>
      <c r="B10" s="3" t="s">
        <v>69</v>
      </c>
      <c r="C10" s="3" t="s">
        <v>93</v>
      </c>
      <c r="E10" s="3" t="s">
        <v>71</v>
      </c>
      <c r="F10" s="3">
        <f t="shared" si="0"/>
        <v>1</v>
      </c>
      <c r="G10" s="3" t="s">
        <v>94</v>
      </c>
      <c r="H10" s="3">
        <f t="shared" si="1"/>
        <v>1</v>
      </c>
      <c r="I10" s="3" t="s">
        <v>95</v>
      </c>
      <c r="J10" s="3" t="s">
        <v>96</v>
      </c>
      <c r="M10" s="3" t="s">
        <v>97</v>
      </c>
      <c r="N10" s="3" t="s">
        <v>98</v>
      </c>
      <c r="O10" s="3" t="s">
        <v>78</v>
      </c>
      <c r="P10" s="3" t="s">
        <v>79</v>
      </c>
      <c r="Q10" s="3" t="s">
        <v>99</v>
      </c>
      <c r="R10" s="3" t="s">
        <v>100</v>
      </c>
      <c r="S10" s="6">
        <v>40.03</v>
      </c>
      <c r="T10" s="6">
        <v>-5.86</v>
      </c>
      <c r="U10" s="6">
        <v>1.33</v>
      </c>
      <c r="V10" s="3" t="s">
        <v>101</v>
      </c>
      <c r="AB10" s="3">
        <v>55000</v>
      </c>
      <c r="AC10" s="3" t="s">
        <v>102</v>
      </c>
      <c r="AD10" s="7">
        <v>37.572600000000001</v>
      </c>
      <c r="AE10" s="7">
        <v>-85.155140000000003</v>
      </c>
      <c r="AG10" s="3" t="s">
        <v>103</v>
      </c>
      <c r="AH10" s="3">
        <v>2000</v>
      </c>
      <c r="AI10" s="3">
        <v>2</v>
      </c>
      <c r="AJ10" s="8">
        <v>18</v>
      </c>
      <c r="AK10" s="3">
        <v>2000</v>
      </c>
      <c r="AL10" s="3">
        <v>2</v>
      </c>
      <c r="AM10" s="3">
        <v>22</v>
      </c>
      <c r="AN10" s="29">
        <v>3</v>
      </c>
      <c r="AP10" s="3">
        <v>231</v>
      </c>
      <c r="AR10" s="3">
        <v>231</v>
      </c>
      <c r="AY10" s="3">
        <v>58.840648491749697</v>
      </c>
      <c r="AZ10" s="3" t="s">
        <v>89</v>
      </c>
      <c r="BA10" s="3" t="s">
        <v>104</v>
      </c>
      <c r="BC10" s="3" t="s">
        <v>105</v>
      </c>
      <c r="BD10" s="8">
        <v>3</v>
      </c>
    </row>
    <row r="11" spans="1:56" ht="14.25" customHeight="1" thickBot="1">
      <c r="A11" s="3" t="s">
        <v>106</v>
      </c>
      <c r="B11" s="3" t="s">
        <v>69</v>
      </c>
      <c r="C11" s="3" t="s">
        <v>107</v>
      </c>
      <c r="E11" s="3" t="s">
        <v>71</v>
      </c>
      <c r="F11" s="3">
        <f t="shared" si="0"/>
        <v>1</v>
      </c>
      <c r="G11" s="3" t="s">
        <v>94</v>
      </c>
      <c r="H11" s="3">
        <f t="shared" si="1"/>
        <v>1</v>
      </c>
      <c r="I11" s="3" t="s">
        <v>95</v>
      </c>
      <c r="J11" s="3" t="s">
        <v>96</v>
      </c>
      <c r="M11" s="3" t="s">
        <v>97</v>
      </c>
      <c r="N11" s="3" t="s">
        <v>98</v>
      </c>
      <c r="O11" s="3" t="s">
        <v>78</v>
      </c>
      <c r="P11" s="3" t="s">
        <v>79</v>
      </c>
      <c r="Q11" s="3" t="s">
        <v>108</v>
      </c>
      <c r="R11" s="3" t="s">
        <v>100</v>
      </c>
      <c r="S11" s="6">
        <v>0</v>
      </c>
      <c r="T11" s="6">
        <v>19.13</v>
      </c>
      <c r="U11" s="6">
        <v>34.89</v>
      </c>
      <c r="V11" s="3" t="s">
        <v>101</v>
      </c>
      <c r="AC11" s="3" t="s">
        <v>102</v>
      </c>
      <c r="AD11" s="7">
        <v>33.073900000000002</v>
      </c>
      <c r="AE11" s="7">
        <v>-94.739220000000003</v>
      </c>
      <c r="AH11" s="3">
        <v>2000</v>
      </c>
      <c r="AI11" s="3">
        <v>8</v>
      </c>
      <c r="AJ11" s="8">
        <v>12</v>
      </c>
      <c r="AK11" s="3">
        <v>2000</v>
      </c>
      <c r="AL11" s="3">
        <v>8</v>
      </c>
      <c r="AM11" s="3">
        <v>14</v>
      </c>
      <c r="AN11" s="29">
        <v>0</v>
      </c>
      <c r="AP11" s="3">
        <v>175</v>
      </c>
      <c r="AR11" s="3">
        <v>175</v>
      </c>
      <c r="AW11" s="3">
        <v>166000</v>
      </c>
      <c r="AX11" s="3">
        <v>282118</v>
      </c>
      <c r="AY11" s="3">
        <v>58.840648491749697</v>
      </c>
      <c r="AZ11" s="3" t="s">
        <v>82</v>
      </c>
      <c r="BB11" s="3" t="s">
        <v>109</v>
      </c>
      <c r="BC11" s="3" t="s">
        <v>110</v>
      </c>
      <c r="BD11" s="8">
        <v>3</v>
      </c>
    </row>
    <row r="12" spans="1:56" ht="14.25" customHeight="1" thickBot="1">
      <c r="A12" s="3" t="s">
        <v>111</v>
      </c>
      <c r="B12" s="3" t="s">
        <v>69</v>
      </c>
      <c r="C12" s="3" t="s">
        <v>112</v>
      </c>
      <c r="E12" s="3" t="s">
        <v>71</v>
      </c>
      <c r="F12" s="3">
        <f t="shared" si="0"/>
        <v>2</v>
      </c>
      <c r="G12" s="3" t="s">
        <v>72</v>
      </c>
      <c r="H12" s="3">
        <f t="shared" si="1"/>
        <v>2</v>
      </c>
      <c r="I12" s="3" t="s">
        <v>73</v>
      </c>
      <c r="M12" s="3" t="s">
        <v>97</v>
      </c>
      <c r="N12" s="3" t="s">
        <v>98</v>
      </c>
      <c r="O12" s="3" t="s">
        <v>78</v>
      </c>
      <c r="P12" s="3" t="s">
        <v>79</v>
      </c>
      <c r="Q12" s="3" t="s">
        <v>113</v>
      </c>
      <c r="S12" s="6">
        <v>17.27</v>
      </c>
      <c r="T12" s="6">
        <v>9.5500000000000007</v>
      </c>
      <c r="U12" s="6">
        <v>19.510000000000002</v>
      </c>
      <c r="V12" s="3" t="s">
        <v>114</v>
      </c>
      <c r="AC12" s="3" t="s">
        <v>81</v>
      </c>
      <c r="AD12" s="7">
        <v>33.258899999999997</v>
      </c>
      <c r="AE12" s="7">
        <v>-86.829530000000005</v>
      </c>
      <c r="AH12" s="3">
        <v>2000</v>
      </c>
      <c r="AI12" s="3">
        <v>1</v>
      </c>
      <c r="AJ12" s="8">
        <v>22</v>
      </c>
      <c r="AK12" s="3">
        <v>2000</v>
      </c>
      <c r="AL12" s="3">
        <v>1</v>
      </c>
      <c r="AM12" s="3">
        <v>25</v>
      </c>
      <c r="AN12" s="29">
        <v>4</v>
      </c>
      <c r="AU12" s="3">
        <v>280000</v>
      </c>
      <c r="AV12" s="3">
        <v>475862</v>
      </c>
      <c r="AW12" s="3">
        <v>350000</v>
      </c>
      <c r="AX12" s="3">
        <v>594827</v>
      </c>
      <c r="AY12" s="3">
        <v>58.840648491749697</v>
      </c>
      <c r="AZ12" s="3" t="s">
        <v>89</v>
      </c>
      <c r="BA12" s="3" t="s">
        <v>115</v>
      </c>
      <c r="BC12" s="3" t="s">
        <v>116</v>
      </c>
      <c r="BD12" s="8">
        <v>0</v>
      </c>
    </row>
    <row r="13" spans="1:56" ht="14.25" customHeight="1" thickBot="1">
      <c r="A13" s="3" t="s">
        <v>117</v>
      </c>
      <c r="B13" s="3" t="s">
        <v>69</v>
      </c>
      <c r="C13" s="3" t="s">
        <v>118</v>
      </c>
      <c r="E13" s="3" t="s">
        <v>71</v>
      </c>
      <c r="F13" s="3">
        <f t="shared" si="0"/>
        <v>3</v>
      </c>
      <c r="G13" s="3" t="s">
        <v>119</v>
      </c>
      <c r="H13" s="3">
        <f t="shared" si="1"/>
        <v>7</v>
      </c>
      <c r="I13" s="3" t="s">
        <v>120</v>
      </c>
      <c r="J13" s="3" t="s">
        <v>120</v>
      </c>
      <c r="M13" s="3" t="s">
        <v>97</v>
      </c>
      <c r="N13" s="3" t="s">
        <v>98</v>
      </c>
      <c r="O13" s="3" t="s">
        <v>78</v>
      </c>
      <c r="P13" s="3" t="s">
        <v>79</v>
      </c>
      <c r="Q13" s="3" t="s">
        <v>121</v>
      </c>
      <c r="S13" s="6">
        <v>0</v>
      </c>
      <c r="T13" s="6">
        <v>-2.94</v>
      </c>
      <c r="U13" s="6">
        <v>2.71</v>
      </c>
      <c r="V13" s="3" t="s">
        <v>122</v>
      </c>
      <c r="AC13" s="3" t="s">
        <v>102</v>
      </c>
      <c r="AD13" s="7">
        <v>41.587299999999999</v>
      </c>
      <c r="AE13" s="7">
        <v>-109.2586</v>
      </c>
      <c r="AH13" s="3">
        <v>2000</v>
      </c>
      <c r="AI13" s="3">
        <v>11</v>
      </c>
      <c r="AJ13" s="8">
        <v>1</v>
      </c>
      <c r="AK13" s="3">
        <v>2000</v>
      </c>
      <c r="AN13" s="29">
        <v>0</v>
      </c>
      <c r="AY13" s="3">
        <v>58.840648491749697</v>
      </c>
      <c r="AZ13" s="3" t="s">
        <v>89</v>
      </c>
      <c r="BA13" s="3" t="s">
        <v>123</v>
      </c>
      <c r="BC13" s="3" t="s">
        <v>124</v>
      </c>
      <c r="BD13" s="8">
        <v>0</v>
      </c>
    </row>
    <row r="14" spans="1:56" ht="14.25" customHeight="1" thickBot="1">
      <c r="A14" s="3" t="s">
        <v>125</v>
      </c>
      <c r="B14" s="3" t="s">
        <v>69</v>
      </c>
      <c r="C14" s="3" t="s">
        <v>126</v>
      </c>
      <c r="E14" s="3" t="s">
        <v>71</v>
      </c>
      <c r="F14" s="3">
        <f t="shared" si="0"/>
        <v>2</v>
      </c>
      <c r="G14" s="3" t="s">
        <v>72</v>
      </c>
      <c r="H14" s="3">
        <f t="shared" si="1"/>
        <v>2</v>
      </c>
      <c r="I14" s="3" t="s">
        <v>73</v>
      </c>
      <c r="J14" s="3" t="s">
        <v>74</v>
      </c>
      <c r="K14" s="3" t="s">
        <v>127</v>
      </c>
      <c r="M14" s="3" t="s">
        <v>97</v>
      </c>
      <c r="N14" s="3" t="s">
        <v>98</v>
      </c>
      <c r="O14" s="3" t="s">
        <v>78</v>
      </c>
      <c r="P14" s="3" t="s">
        <v>79</v>
      </c>
      <c r="Q14" s="3" t="s">
        <v>128</v>
      </c>
      <c r="S14" s="6">
        <v>7.07</v>
      </c>
      <c r="T14" s="6">
        <v>4.8099999999999996</v>
      </c>
      <c r="U14" s="6">
        <v>13.81</v>
      </c>
      <c r="V14" s="3" t="s">
        <v>129</v>
      </c>
      <c r="AC14" s="3" t="s">
        <v>81</v>
      </c>
      <c r="AD14" s="7">
        <v>31.2639</v>
      </c>
      <c r="AE14" s="7">
        <v>-98.545609999999996</v>
      </c>
      <c r="AH14" s="3">
        <v>2000</v>
      </c>
      <c r="AI14" s="3">
        <v>12</v>
      </c>
      <c r="AJ14" s="8">
        <v>24</v>
      </c>
      <c r="AK14" s="3">
        <v>2000</v>
      </c>
      <c r="AL14" s="3">
        <v>12</v>
      </c>
      <c r="AM14" s="3">
        <v>24</v>
      </c>
      <c r="AN14" s="29">
        <v>57</v>
      </c>
      <c r="AO14" s="3">
        <v>34</v>
      </c>
      <c r="AR14" s="3">
        <v>34</v>
      </c>
      <c r="AU14" s="3">
        <v>200500</v>
      </c>
      <c r="AV14" s="3">
        <v>340751</v>
      </c>
      <c r="AY14" s="3">
        <v>58.840648491749697</v>
      </c>
      <c r="AZ14" s="3" t="s">
        <v>89</v>
      </c>
      <c r="BA14" s="3" t="s">
        <v>130</v>
      </c>
      <c r="BC14" s="3" t="s">
        <v>131</v>
      </c>
      <c r="BD14" s="8">
        <v>2</v>
      </c>
    </row>
    <row r="15" spans="1:56" ht="14.25" customHeight="1" thickBot="1">
      <c r="A15" s="3" t="s">
        <v>132</v>
      </c>
      <c r="B15" s="3" t="s">
        <v>69</v>
      </c>
      <c r="C15" s="3" t="s">
        <v>133</v>
      </c>
      <c r="E15" s="3" t="s">
        <v>71</v>
      </c>
      <c r="F15" s="3">
        <f t="shared" si="0"/>
        <v>2</v>
      </c>
      <c r="G15" s="3" t="s">
        <v>72</v>
      </c>
      <c r="H15" s="3">
        <f t="shared" si="1"/>
        <v>2</v>
      </c>
      <c r="I15" s="3" t="s">
        <v>73</v>
      </c>
      <c r="J15" s="3" t="s">
        <v>74</v>
      </c>
      <c r="K15" s="3" t="s">
        <v>75</v>
      </c>
      <c r="M15" s="3" t="s">
        <v>97</v>
      </c>
      <c r="N15" s="3" t="s">
        <v>98</v>
      </c>
      <c r="O15" s="3" t="s">
        <v>78</v>
      </c>
      <c r="P15" s="3" t="s">
        <v>79</v>
      </c>
      <c r="Q15" s="3" t="s">
        <v>134</v>
      </c>
      <c r="S15" s="6">
        <v>73.61</v>
      </c>
      <c r="T15" s="6">
        <v>0.49</v>
      </c>
      <c r="U15" s="6">
        <v>17.440000000000001</v>
      </c>
      <c r="AC15" s="3" t="s">
        <v>81</v>
      </c>
      <c r="AD15" s="7">
        <v>37.360100000000003</v>
      </c>
      <c r="AE15" s="7">
        <v>-88.088509999999999</v>
      </c>
      <c r="AH15" s="3">
        <v>2000</v>
      </c>
      <c r="AI15" s="3">
        <v>1</v>
      </c>
      <c r="AJ15" s="8">
        <v>2</v>
      </c>
      <c r="AK15" s="3">
        <v>2000</v>
      </c>
      <c r="AL15" s="3">
        <v>1</v>
      </c>
      <c r="AM15" s="3">
        <v>4</v>
      </c>
      <c r="AN15" s="29">
        <v>1</v>
      </c>
      <c r="AO15" s="3">
        <v>12</v>
      </c>
      <c r="AQ15" s="3">
        <v>150</v>
      </c>
      <c r="AR15" s="3">
        <v>162</v>
      </c>
      <c r="AU15" s="3">
        <v>200500</v>
      </c>
      <c r="AV15" s="3">
        <v>340751</v>
      </c>
      <c r="AW15" s="3">
        <v>210000</v>
      </c>
      <c r="AX15" s="3">
        <v>356896</v>
      </c>
      <c r="AY15" s="3">
        <v>58.840648491749697</v>
      </c>
      <c r="AZ15" s="3" t="s">
        <v>82</v>
      </c>
      <c r="BB15" s="3" t="s">
        <v>135</v>
      </c>
      <c r="BC15" s="3" t="s">
        <v>136</v>
      </c>
      <c r="BD15" s="8">
        <v>3</v>
      </c>
    </row>
    <row r="16" spans="1:56" ht="14.25" customHeight="1" thickBot="1">
      <c r="A16" s="3" t="s">
        <v>137</v>
      </c>
      <c r="B16" s="3" t="s">
        <v>69</v>
      </c>
      <c r="C16" s="3" t="s">
        <v>138</v>
      </c>
      <c r="E16" s="3" t="s">
        <v>71</v>
      </c>
      <c r="F16" s="3">
        <f t="shared" si="0"/>
        <v>2</v>
      </c>
      <c r="G16" s="3" t="s">
        <v>72</v>
      </c>
      <c r="H16" s="3">
        <f t="shared" si="1"/>
        <v>2</v>
      </c>
      <c r="I16" s="3" t="s">
        <v>73</v>
      </c>
      <c r="J16" s="3" t="s">
        <v>74</v>
      </c>
      <c r="K16" s="3" t="s">
        <v>75</v>
      </c>
      <c r="M16" s="3" t="s">
        <v>97</v>
      </c>
      <c r="N16" s="3" t="s">
        <v>98</v>
      </c>
      <c r="O16" s="3" t="s">
        <v>78</v>
      </c>
      <c r="P16" s="3" t="s">
        <v>79</v>
      </c>
      <c r="Q16" s="3" t="s">
        <v>139</v>
      </c>
      <c r="S16" s="6">
        <v>7.59</v>
      </c>
      <c r="T16" s="6">
        <v>-3.52</v>
      </c>
      <c r="U16" s="6">
        <v>13.29</v>
      </c>
      <c r="AB16" s="3">
        <v>249</v>
      </c>
      <c r="AC16" s="3" t="s">
        <v>81</v>
      </c>
      <c r="AD16" s="10">
        <v>32.345689999999998</v>
      </c>
      <c r="AE16" s="11">
        <v>-86.953540000000004</v>
      </c>
      <c r="AH16" s="3">
        <v>2000</v>
      </c>
      <c r="AI16" s="3">
        <v>2</v>
      </c>
      <c r="AJ16" s="8">
        <v>13</v>
      </c>
      <c r="AK16" s="3">
        <v>2000</v>
      </c>
      <c r="AL16" s="3">
        <v>2</v>
      </c>
      <c r="AM16" s="3">
        <v>14</v>
      </c>
      <c r="AN16" s="29">
        <v>22</v>
      </c>
      <c r="AO16" s="3">
        <v>100</v>
      </c>
      <c r="AP16" s="3">
        <v>900</v>
      </c>
      <c r="AR16" s="3">
        <v>1000</v>
      </c>
      <c r="AY16" s="3">
        <v>58.840648491749697</v>
      </c>
      <c r="AZ16" s="3" t="s">
        <v>82</v>
      </c>
      <c r="BB16" s="3" t="s">
        <v>140</v>
      </c>
      <c r="BC16" s="3" t="s">
        <v>141</v>
      </c>
      <c r="BD16" s="8">
        <v>4</v>
      </c>
    </row>
    <row r="17" spans="1:56" ht="14.25" customHeight="1" thickBot="1">
      <c r="A17" s="3" t="s">
        <v>142</v>
      </c>
      <c r="B17" s="3" t="s">
        <v>69</v>
      </c>
      <c r="C17" s="3" t="s">
        <v>143</v>
      </c>
      <c r="E17" s="3" t="s">
        <v>71</v>
      </c>
      <c r="F17" s="3">
        <f t="shared" si="0"/>
        <v>2</v>
      </c>
      <c r="G17" s="3" t="s">
        <v>72</v>
      </c>
      <c r="H17" s="3">
        <f t="shared" si="1"/>
        <v>2</v>
      </c>
      <c r="I17" s="3" t="s">
        <v>73</v>
      </c>
      <c r="J17" s="3" t="s">
        <v>74</v>
      </c>
      <c r="K17" s="3" t="s">
        <v>75</v>
      </c>
      <c r="M17" s="3" t="s">
        <v>97</v>
      </c>
      <c r="N17" s="3" t="s">
        <v>98</v>
      </c>
      <c r="O17" s="3" t="s">
        <v>78</v>
      </c>
      <c r="P17" s="3" t="s">
        <v>79</v>
      </c>
      <c r="Q17" s="3" t="s">
        <v>144</v>
      </c>
      <c r="S17" s="6">
        <v>30.79</v>
      </c>
      <c r="T17" s="6">
        <v>7.76</v>
      </c>
      <c r="U17" s="6">
        <v>22.86</v>
      </c>
      <c r="AC17" s="3" t="s">
        <v>81</v>
      </c>
      <c r="AD17" s="12">
        <v>32.728427000000003</v>
      </c>
      <c r="AE17" s="11">
        <v>-97.308684</v>
      </c>
      <c r="AH17" s="3">
        <v>2000</v>
      </c>
      <c r="AI17" s="3">
        <v>3</v>
      </c>
      <c r="AJ17" s="8">
        <v>28</v>
      </c>
      <c r="AK17" s="3">
        <v>2000</v>
      </c>
      <c r="AL17" s="3">
        <v>3</v>
      </c>
      <c r="AM17" s="3">
        <v>28</v>
      </c>
      <c r="AN17" s="29">
        <v>5</v>
      </c>
      <c r="AP17" s="3">
        <v>3000</v>
      </c>
      <c r="AQ17" s="3">
        <v>300</v>
      </c>
      <c r="AR17" s="3">
        <v>3300</v>
      </c>
      <c r="AW17" s="3">
        <v>450000</v>
      </c>
      <c r="AX17" s="3">
        <v>764777</v>
      </c>
      <c r="AY17" s="3">
        <v>58.840648491749697</v>
      </c>
      <c r="AZ17" s="3" t="s">
        <v>82</v>
      </c>
      <c r="BB17" s="3" t="s">
        <v>145</v>
      </c>
      <c r="BC17" s="3" t="s">
        <v>146</v>
      </c>
      <c r="BD17" s="8">
        <v>4</v>
      </c>
    </row>
    <row r="18" spans="1:56" ht="14.25" customHeight="1" thickBot="1">
      <c r="A18" s="3" t="s">
        <v>147</v>
      </c>
      <c r="B18" s="3" t="s">
        <v>69</v>
      </c>
      <c r="C18" s="3" t="s">
        <v>148</v>
      </c>
      <c r="E18" s="3" t="s">
        <v>71</v>
      </c>
      <c r="F18" s="3">
        <f t="shared" si="0"/>
        <v>2</v>
      </c>
      <c r="G18" s="3" t="s">
        <v>72</v>
      </c>
      <c r="H18" s="3">
        <f t="shared" si="1"/>
        <v>2</v>
      </c>
      <c r="I18" s="3" t="s">
        <v>73</v>
      </c>
      <c r="J18" s="3" t="s">
        <v>74</v>
      </c>
      <c r="K18" s="3" t="s">
        <v>75</v>
      </c>
      <c r="M18" s="3" t="s">
        <v>97</v>
      </c>
      <c r="N18" s="3" t="s">
        <v>98</v>
      </c>
      <c r="O18" s="3" t="s">
        <v>78</v>
      </c>
      <c r="P18" s="3" t="s">
        <v>79</v>
      </c>
      <c r="Q18" s="3" t="s">
        <v>149</v>
      </c>
      <c r="S18" s="6">
        <v>45.94</v>
      </c>
      <c r="T18" s="6">
        <v>10.78</v>
      </c>
      <c r="U18" s="6">
        <v>20.100000000000001</v>
      </c>
      <c r="AC18" s="3" t="s">
        <v>81</v>
      </c>
      <c r="AD18" s="9">
        <v>39.97878</v>
      </c>
      <c r="AE18" s="11">
        <v>-91.211006499999996</v>
      </c>
      <c r="AH18" s="3">
        <v>2000</v>
      </c>
      <c r="AI18" s="3">
        <v>5</v>
      </c>
      <c r="AJ18" s="8">
        <v>26</v>
      </c>
      <c r="AK18" s="3">
        <v>2000</v>
      </c>
      <c r="AL18" s="3">
        <v>5</v>
      </c>
      <c r="AM18" s="3">
        <v>26</v>
      </c>
      <c r="AN18" s="29">
        <v>0</v>
      </c>
      <c r="AW18" s="3">
        <v>28500</v>
      </c>
      <c r="AX18" s="3">
        <v>48436</v>
      </c>
      <c r="AY18" s="3">
        <v>58.840648491749697</v>
      </c>
      <c r="AZ18" s="3" t="s">
        <v>82</v>
      </c>
      <c r="BB18" s="3" t="s">
        <v>150</v>
      </c>
      <c r="BC18" s="3" t="s">
        <v>151</v>
      </c>
      <c r="BD18" s="8">
        <v>0</v>
      </c>
    </row>
    <row r="19" spans="1:56" ht="14.25" customHeight="1" thickBot="1">
      <c r="A19" s="3" t="s">
        <v>152</v>
      </c>
      <c r="B19" s="3" t="s">
        <v>69</v>
      </c>
      <c r="C19" s="3" t="s">
        <v>153</v>
      </c>
      <c r="E19" s="3" t="s">
        <v>71</v>
      </c>
      <c r="F19" s="3">
        <f t="shared" si="0"/>
        <v>2</v>
      </c>
      <c r="G19" s="3" t="s">
        <v>72</v>
      </c>
      <c r="H19" s="3">
        <f t="shared" si="1"/>
        <v>2</v>
      </c>
      <c r="I19" s="3" t="s">
        <v>73</v>
      </c>
      <c r="J19" s="3" t="s">
        <v>74</v>
      </c>
      <c r="K19" s="3" t="s">
        <v>75</v>
      </c>
      <c r="M19" s="3" t="s">
        <v>97</v>
      </c>
      <c r="N19" s="3" t="s">
        <v>98</v>
      </c>
      <c r="O19" s="3" t="s">
        <v>78</v>
      </c>
      <c r="P19" s="3" t="s">
        <v>79</v>
      </c>
      <c r="Q19" s="3" t="s">
        <v>154</v>
      </c>
      <c r="S19" s="6">
        <v>0</v>
      </c>
      <c r="T19" s="6">
        <v>16.84</v>
      </c>
      <c r="U19" s="6">
        <v>31.89</v>
      </c>
      <c r="AC19" s="3" t="s">
        <v>81</v>
      </c>
      <c r="AD19" s="9">
        <v>44.81</v>
      </c>
      <c r="AE19" s="11">
        <v>-95.538888900000003</v>
      </c>
      <c r="AH19" s="3">
        <v>2000</v>
      </c>
      <c r="AI19" s="3">
        <v>7</v>
      </c>
      <c r="AJ19" s="8">
        <v>25</v>
      </c>
      <c r="AK19" s="3">
        <v>2000</v>
      </c>
      <c r="AL19" s="3">
        <v>7</v>
      </c>
      <c r="AM19" s="3">
        <v>25</v>
      </c>
      <c r="AN19" s="29">
        <v>1</v>
      </c>
      <c r="AO19" s="3">
        <v>15</v>
      </c>
      <c r="AP19" s="3">
        <v>900</v>
      </c>
      <c r="AQ19" s="3">
        <v>120</v>
      </c>
      <c r="AR19" s="3">
        <v>1035</v>
      </c>
      <c r="AW19" s="3">
        <v>8100</v>
      </c>
      <c r="AX19" s="3">
        <v>13766</v>
      </c>
      <c r="AY19" s="3">
        <v>58.840648491749697</v>
      </c>
      <c r="AZ19" s="3" t="s">
        <v>82</v>
      </c>
      <c r="BB19" s="3" t="s">
        <v>155</v>
      </c>
      <c r="BC19" s="3" t="s">
        <v>156</v>
      </c>
      <c r="BD19" s="8">
        <v>4</v>
      </c>
    </row>
    <row r="20" spans="1:56" ht="14.25" customHeight="1" thickBot="1">
      <c r="A20" s="3" t="s">
        <v>157</v>
      </c>
      <c r="B20" s="3" t="s">
        <v>69</v>
      </c>
      <c r="C20" s="3" t="s">
        <v>158</v>
      </c>
      <c r="E20" s="3" t="s">
        <v>71</v>
      </c>
      <c r="F20" s="3">
        <f t="shared" si="0"/>
        <v>2</v>
      </c>
      <c r="G20" s="3" t="s">
        <v>72</v>
      </c>
      <c r="H20" s="3">
        <f t="shared" si="1"/>
        <v>2</v>
      </c>
      <c r="I20" s="3" t="s">
        <v>73</v>
      </c>
      <c r="J20" s="3" t="s">
        <v>74</v>
      </c>
      <c r="K20" s="3" t="s">
        <v>75</v>
      </c>
      <c r="M20" s="3" t="s">
        <v>97</v>
      </c>
      <c r="N20" s="3" t="s">
        <v>98</v>
      </c>
      <c r="O20" s="3" t="s">
        <v>78</v>
      </c>
      <c r="P20" s="3" t="s">
        <v>79</v>
      </c>
      <c r="Q20" s="3" t="s">
        <v>159</v>
      </c>
      <c r="S20" s="6">
        <v>21.48</v>
      </c>
      <c r="T20" s="6">
        <v>19.25</v>
      </c>
      <c r="U20" s="6">
        <v>30.76</v>
      </c>
      <c r="AC20" s="3" t="s">
        <v>81</v>
      </c>
      <c r="AD20" s="9">
        <v>39.686419999999998</v>
      </c>
      <c r="AE20" s="11">
        <v>-83.929207520000006</v>
      </c>
      <c r="AH20" s="3">
        <v>2000</v>
      </c>
      <c r="AI20" s="3">
        <v>9</v>
      </c>
      <c r="AJ20" s="8">
        <v>20</v>
      </c>
      <c r="AK20" s="3">
        <v>2000</v>
      </c>
      <c r="AL20" s="3">
        <v>9</v>
      </c>
      <c r="AM20" s="3">
        <v>20</v>
      </c>
      <c r="AN20" s="29">
        <v>1</v>
      </c>
      <c r="AO20" s="3">
        <v>115</v>
      </c>
      <c r="AR20" s="3">
        <v>115</v>
      </c>
      <c r="AU20" s="3">
        <v>62500</v>
      </c>
      <c r="AV20" s="3">
        <v>106219</v>
      </c>
      <c r="AW20" s="3">
        <v>90000</v>
      </c>
      <c r="AX20" s="3">
        <v>152955</v>
      </c>
      <c r="AY20" s="3">
        <v>58.840648491749697</v>
      </c>
      <c r="AZ20" s="3" t="s">
        <v>82</v>
      </c>
      <c r="BB20" s="3" t="s">
        <v>160</v>
      </c>
      <c r="BC20" s="3" t="s">
        <v>161</v>
      </c>
      <c r="BD20" s="8">
        <v>3</v>
      </c>
    </row>
    <row r="21" spans="1:56" ht="14.25" customHeight="1" thickBot="1">
      <c r="A21" s="3" t="s">
        <v>162</v>
      </c>
      <c r="B21" s="3" t="s">
        <v>69</v>
      </c>
      <c r="C21" s="3" t="s">
        <v>163</v>
      </c>
      <c r="E21" s="3" t="s">
        <v>71</v>
      </c>
      <c r="F21" s="3">
        <f t="shared" si="0"/>
        <v>2</v>
      </c>
      <c r="G21" s="3" t="s">
        <v>72</v>
      </c>
      <c r="H21" s="3">
        <f t="shared" si="1"/>
        <v>2</v>
      </c>
      <c r="I21" s="3" t="s">
        <v>73</v>
      </c>
      <c r="J21" s="3" t="s">
        <v>74</v>
      </c>
      <c r="K21" s="3" t="s">
        <v>127</v>
      </c>
      <c r="M21" s="3" t="s">
        <v>97</v>
      </c>
      <c r="N21" s="3" t="s">
        <v>98</v>
      </c>
      <c r="O21" s="3" t="s">
        <v>78</v>
      </c>
      <c r="P21" s="3" t="s">
        <v>79</v>
      </c>
      <c r="Q21" s="3" t="s">
        <v>164</v>
      </c>
      <c r="S21" s="6">
        <v>32.33</v>
      </c>
      <c r="T21" s="6">
        <v>-1.08</v>
      </c>
      <c r="U21" s="6">
        <v>13.8</v>
      </c>
      <c r="AC21" s="3" t="s">
        <v>81</v>
      </c>
      <c r="AD21" s="7">
        <v>42.886699999999998</v>
      </c>
      <c r="AE21" s="7">
        <v>-78.879260000000002</v>
      </c>
      <c r="AH21" s="3">
        <v>2000</v>
      </c>
      <c r="AI21" s="3">
        <v>11</v>
      </c>
      <c r="AJ21" s="8">
        <v>20</v>
      </c>
      <c r="AK21" s="3">
        <v>2000</v>
      </c>
      <c r="AL21" s="3">
        <v>11</v>
      </c>
      <c r="AM21" s="3">
        <v>20</v>
      </c>
      <c r="AN21" s="29">
        <v>0</v>
      </c>
      <c r="AY21" s="3">
        <v>58.840648491749697</v>
      </c>
      <c r="AZ21" s="3" t="s">
        <v>82</v>
      </c>
      <c r="BB21" s="3" t="s">
        <v>165</v>
      </c>
      <c r="BC21" s="3" t="s">
        <v>166</v>
      </c>
      <c r="BD21" s="8">
        <v>0</v>
      </c>
    </row>
    <row r="22" spans="1:56" ht="14.25" customHeight="1" thickBot="1">
      <c r="A22" s="3" t="s">
        <v>167</v>
      </c>
      <c r="B22" s="3" t="s">
        <v>69</v>
      </c>
      <c r="C22" s="3" t="s">
        <v>168</v>
      </c>
      <c r="E22" s="3" t="s">
        <v>71</v>
      </c>
      <c r="F22" s="3">
        <f t="shared" si="0"/>
        <v>2</v>
      </c>
      <c r="G22" s="3" t="s">
        <v>72</v>
      </c>
      <c r="H22" s="3">
        <f t="shared" si="1"/>
        <v>2</v>
      </c>
      <c r="I22" s="3" t="s">
        <v>73</v>
      </c>
      <c r="J22" s="3" t="s">
        <v>74</v>
      </c>
      <c r="K22" s="3" t="s">
        <v>169</v>
      </c>
      <c r="M22" s="3" t="s">
        <v>97</v>
      </c>
      <c r="N22" s="3" t="s">
        <v>98</v>
      </c>
      <c r="O22" s="3" t="s">
        <v>78</v>
      </c>
      <c r="P22" s="3" t="s">
        <v>79</v>
      </c>
      <c r="Q22" s="3" t="s">
        <v>170</v>
      </c>
      <c r="S22" s="6">
        <v>11.42</v>
      </c>
      <c r="T22" s="6">
        <v>6.47</v>
      </c>
      <c r="U22" s="6">
        <v>26.42</v>
      </c>
      <c r="AC22" s="3" t="s">
        <v>81</v>
      </c>
      <c r="AD22" s="13">
        <v>34.993594000000002</v>
      </c>
      <c r="AE22" s="11">
        <v>-85.903660000000002</v>
      </c>
      <c r="AH22" s="3">
        <v>2000</v>
      </c>
      <c r="AI22" s="3">
        <v>5</v>
      </c>
      <c r="AJ22" s="8">
        <v>23</v>
      </c>
      <c r="AK22" s="3">
        <v>2000</v>
      </c>
      <c r="AL22" s="3">
        <v>5</v>
      </c>
      <c r="AM22" s="3">
        <v>23</v>
      </c>
      <c r="AN22" s="29">
        <v>0</v>
      </c>
      <c r="AY22" s="3">
        <v>58.840648491749697</v>
      </c>
      <c r="AZ22" s="3" t="s">
        <v>82</v>
      </c>
      <c r="BB22" s="3" t="s">
        <v>171</v>
      </c>
      <c r="BC22" s="3" t="s">
        <v>172</v>
      </c>
      <c r="BD22" s="8">
        <v>0</v>
      </c>
    </row>
    <row r="23" spans="1:56" ht="14.25" customHeight="1" thickBot="1">
      <c r="A23" s="3" t="s">
        <v>173</v>
      </c>
      <c r="B23" s="3" t="s">
        <v>69</v>
      </c>
      <c r="C23" s="3" t="s">
        <v>174</v>
      </c>
      <c r="E23" s="3" t="s">
        <v>71</v>
      </c>
      <c r="F23" s="3">
        <f t="shared" si="0"/>
        <v>5</v>
      </c>
      <c r="G23" s="3" t="s">
        <v>175</v>
      </c>
      <c r="H23" s="3">
        <f t="shared" si="1"/>
        <v>6</v>
      </c>
      <c r="I23" s="3" t="s">
        <v>176</v>
      </c>
      <c r="J23" s="3" t="s">
        <v>177</v>
      </c>
      <c r="M23" s="3" t="s">
        <v>97</v>
      </c>
      <c r="N23" s="3" t="s">
        <v>98</v>
      </c>
      <c r="O23" s="3" t="s">
        <v>78</v>
      </c>
      <c r="P23" s="3" t="s">
        <v>79</v>
      </c>
      <c r="Q23" s="3" t="s">
        <v>178</v>
      </c>
      <c r="S23" s="6">
        <v>0</v>
      </c>
      <c r="T23" s="6">
        <v>12.68</v>
      </c>
      <c r="U23" s="6">
        <v>18.91</v>
      </c>
      <c r="AB23" s="3">
        <v>5</v>
      </c>
      <c r="AC23" s="3" t="s">
        <v>179</v>
      </c>
      <c r="AD23" s="8">
        <v>38.378830000000001</v>
      </c>
      <c r="AE23" s="8">
        <v>-122.41333299999999</v>
      </c>
      <c r="AF23" s="3" t="s">
        <v>180</v>
      </c>
      <c r="AH23" s="3">
        <v>2000</v>
      </c>
      <c r="AI23" s="3">
        <v>9</v>
      </c>
      <c r="AJ23" s="8">
        <v>3</v>
      </c>
      <c r="AK23" s="3">
        <v>2000</v>
      </c>
      <c r="AL23" s="3">
        <v>9</v>
      </c>
      <c r="AM23" s="3">
        <v>3</v>
      </c>
      <c r="AN23" s="29">
        <v>0</v>
      </c>
      <c r="AO23" s="3">
        <v>70</v>
      </c>
      <c r="AP23" s="3">
        <v>25000</v>
      </c>
      <c r="AQ23" s="3">
        <v>104</v>
      </c>
      <c r="AR23" s="3">
        <v>25174</v>
      </c>
      <c r="AW23" s="3">
        <v>50000</v>
      </c>
      <c r="AX23" s="3">
        <v>84975</v>
      </c>
      <c r="AY23" s="3">
        <v>58.840648491749697</v>
      </c>
      <c r="AZ23" s="3" t="s">
        <v>82</v>
      </c>
      <c r="BB23" s="3" t="s">
        <v>181</v>
      </c>
      <c r="BC23" s="3" t="s">
        <v>182</v>
      </c>
      <c r="BD23" s="8">
        <v>5</v>
      </c>
    </row>
    <row r="24" spans="1:56" ht="14.25" customHeight="1" thickBot="1">
      <c r="A24" s="3" t="s">
        <v>183</v>
      </c>
      <c r="B24" s="3" t="s">
        <v>69</v>
      </c>
      <c r="C24" s="3" t="s">
        <v>184</v>
      </c>
      <c r="E24" s="3" t="s">
        <v>71</v>
      </c>
      <c r="F24" s="3">
        <f t="shared" si="0"/>
        <v>1</v>
      </c>
      <c r="G24" s="3" t="s">
        <v>94</v>
      </c>
      <c r="H24" s="3">
        <f t="shared" si="1"/>
        <v>1</v>
      </c>
      <c r="I24" s="3" t="s">
        <v>95</v>
      </c>
      <c r="J24" s="3" t="s">
        <v>185</v>
      </c>
      <c r="M24" s="3" t="s">
        <v>97</v>
      </c>
      <c r="N24" s="3" t="s">
        <v>98</v>
      </c>
      <c r="O24" s="3" t="s">
        <v>78</v>
      </c>
      <c r="P24" s="3" t="s">
        <v>79</v>
      </c>
      <c r="Q24" s="3" t="s">
        <v>186</v>
      </c>
      <c r="R24" s="3" t="s">
        <v>187</v>
      </c>
      <c r="S24" s="6">
        <v>23.06</v>
      </c>
      <c r="T24" s="6">
        <v>12.32</v>
      </c>
      <c r="U24" s="6">
        <v>25.91</v>
      </c>
      <c r="AC24" s="3" t="s">
        <v>102</v>
      </c>
      <c r="AD24" s="13">
        <v>38.532964999999997</v>
      </c>
      <c r="AE24" s="11">
        <v>-92.164240000000007</v>
      </c>
      <c r="AG24" s="3" t="s">
        <v>188</v>
      </c>
      <c r="AH24" s="3">
        <v>2000</v>
      </c>
      <c r="AI24" s="3">
        <v>5</v>
      </c>
      <c r="AJ24" s="8">
        <v>6</v>
      </c>
      <c r="AK24" s="3">
        <v>2000</v>
      </c>
      <c r="AL24" s="3">
        <v>5</v>
      </c>
      <c r="AM24" s="3">
        <v>9</v>
      </c>
      <c r="AN24" s="29">
        <v>2</v>
      </c>
      <c r="AQ24" s="3">
        <v>2000</v>
      </c>
      <c r="AR24" s="3">
        <v>2000</v>
      </c>
      <c r="AY24" s="3">
        <v>58.840648491749697</v>
      </c>
      <c r="AZ24" s="3" t="s">
        <v>82</v>
      </c>
      <c r="BB24" s="3" t="s">
        <v>189</v>
      </c>
      <c r="BC24" s="3" t="s">
        <v>190</v>
      </c>
      <c r="BD24" s="8">
        <v>4</v>
      </c>
    </row>
    <row r="25" spans="1:56" ht="14.25" customHeight="1" thickBot="1">
      <c r="A25" s="3" t="s">
        <v>191</v>
      </c>
      <c r="B25" s="3" t="s">
        <v>69</v>
      </c>
      <c r="C25" s="3" t="s">
        <v>192</v>
      </c>
      <c r="E25" s="3" t="s">
        <v>71</v>
      </c>
      <c r="F25" s="3">
        <f t="shared" si="0"/>
        <v>1</v>
      </c>
      <c r="G25" s="3" t="s">
        <v>94</v>
      </c>
      <c r="H25" s="3">
        <f t="shared" si="1"/>
        <v>1</v>
      </c>
      <c r="I25" s="3" t="s">
        <v>95</v>
      </c>
      <c r="J25" s="3" t="s">
        <v>185</v>
      </c>
      <c r="M25" s="3" t="s">
        <v>97</v>
      </c>
      <c r="N25" s="3" t="s">
        <v>98</v>
      </c>
      <c r="O25" s="3" t="s">
        <v>78</v>
      </c>
      <c r="P25" s="3" t="s">
        <v>79</v>
      </c>
      <c r="Q25" s="3" t="s">
        <v>193</v>
      </c>
      <c r="R25" s="3" t="s">
        <v>187</v>
      </c>
      <c r="S25" s="6">
        <v>0</v>
      </c>
      <c r="T25" s="6">
        <v>12.81</v>
      </c>
      <c r="U25" s="6">
        <v>19.190000000000001</v>
      </c>
      <c r="AC25" s="3" t="s">
        <v>102</v>
      </c>
      <c r="AD25" s="13">
        <v>35.901449</v>
      </c>
      <c r="AE25" s="11">
        <v>-97.146180999999999</v>
      </c>
      <c r="AG25" s="3" t="s">
        <v>194</v>
      </c>
      <c r="AH25" s="3">
        <v>2000</v>
      </c>
      <c r="AI25" s="3">
        <v>5</v>
      </c>
      <c r="AJ25" s="8">
        <v>6</v>
      </c>
      <c r="AK25" s="3">
        <v>2000</v>
      </c>
      <c r="AL25" s="3">
        <v>5</v>
      </c>
      <c r="AM25" s="3">
        <v>9</v>
      </c>
      <c r="AN25" s="29">
        <v>1</v>
      </c>
      <c r="AP25" s="3">
        <v>300</v>
      </c>
      <c r="AR25" s="3">
        <v>300</v>
      </c>
      <c r="AY25" s="3">
        <v>58.840648491749697</v>
      </c>
      <c r="AZ25" s="3" t="s">
        <v>89</v>
      </c>
      <c r="BA25" s="3" t="s">
        <v>195</v>
      </c>
      <c r="BC25" s="3" t="s">
        <v>196</v>
      </c>
      <c r="BD25" s="8">
        <v>3</v>
      </c>
    </row>
    <row r="26" spans="1:56" ht="14.25" customHeight="1" thickBot="1">
      <c r="A26" s="3" t="s">
        <v>197</v>
      </c>
      <c r="B26" s="3" t="s">
        <v>69</v>
      </c>
      <c r="C26" s="3" t="s">
        <v>198</v>
      </c>
      <c r="E26" s="3" t="s">
        <v>71</v>
      </c>
      <c r="F26" s="3">
        <f t="shared" si="0"/>
        <v>1</v>
      </c>
      <c r="G26" s="3" t="s">
        <v>94</v>
      </c>
      <c r="H26" s="3">
        <f t="shared" si="1"/>
        <v>1</v>
      </c>
      <c r="I26" s="3" t="s">
        <v>95</v>
      </c>
      <c r="J26" s="3" t="s">
        <v>96</v>
      </c>
      <c r="M26" s="3" t="s">
        <v>97</v>
      </c>
      <c r="N26" s="3" t="s">
        <v>98</v>
      </c>
      <c r="O26" s="3" t="s">
        <v>78</v>
      </c>
      <c r="P26" s="3" t="s">
        <v>79</v>
      </c>
      <c r="Q26" s="3" t="s">
        <v>199</v>
      </c>
      <c r="R26" s="3" t="s">
        <v>200</v>
      </c>
      <c r="S26" s="6">
        <v>40.700000000000003</v>
      </c>
      <c r="T26" s="6">
        <v>19.02</v>
      </c>
      <c r="U26" s="6">
        <v>24.83</v>
      </c>
      <c r="AB26" s="3">
        <v>86</v>
      </c>
      <c r="AC26" s="3" t="s">
        <v>102</v>
      </c>
      <c r="AD26" s="14">
        <v>20.811924999999999</v>
      </c>
      <c r="AE26" s="11">
        <v>-156.33112499999999</v>
      </c>
      <c r="AH26" s="3">
        <v>2000</v>
      </c>
      <c r="AI26" s="3">
        <v>11</v>
      </c>
      <c r="AJ26" s="8">
        <v>2</v>
      </c>
      <c r="AK26" s="3">
        <v>2000</v>
      </c>
      <c r="AL26" s="3">
        <v>11</v>
      </c>
      <c r="AM26" s="3">
        <v>2</v>
      </c>
      <c r="AN26" s="29">
        <v>0</v>
      </c>
      <c r="AP26" s="3">
        <v>100</v>
      </c>
      <c r="AR26" s="3">
        <v>100</v>
      </c>
      <c r="AW26" s="3">
        <v>20000</v>
      </c>
      <c r="AX26" s="3">
        <v>33990</v>
      </c>
      <c r="AY26" s="3">
        <v>58.840648491749697</v>
      </c>
      <c r="AZ26" s="3" t="s">
        <v>82</v>
      </c>
      <c r="BB26" s="3" t="s">
        <v>201</v>
      </c>
      <c r="BC26" s="3" t="s">
        <v>202</v>
      </c>
      <c r="BD26" s="8">
        <v>3</v>
      </c>
    </row>
    <row r="27" spans="1:56" ht="14.25" customHeight="1" thickBot="1">
      <c r="A27" s="3" t="s">
        <v>203</v>
      </c>
      <c r="B27" s="3" t="s">
        <v>69</v>
      </c>
      <c r="C27" s="3" t="s">
        <v>204</v>
      </c>
      <c r="E27" s="3" t="s">
        <v>71</v>
      </c>
      <c r="F27" s="3">
        <f t="shared" si="0"/>
        <v>2</v>
      </c>
      <c r="G27" s="3" t="s">
        <v>72</v>
      </c>
      <c r="H27" s="3">
        <f t="shared" si="1"/>
        <v>2</v>
      </c>
      <c r="I27" s="3" t="s">
        <v>73</v>
      </c>
      <c r="J27" s="3" t="s">
        <v>74</v>
      </c>
      <c r="M27" s="3" t="s">
        <v>97</v>
      </c>
      <c r="N27" s="3" t="s">
        <v>98</v>
      </c>
      <c r="O27" s="3" t="s">
        <v>78</v>
      </c>
      <c r="P27" s="3" t="s">
        <v>79</v>
      </c>
      <c r="Q27" s="3" t="s">
        <v>205</v>
      </c>
      <c r="S27" s="6">
        <v>26.15</v>
      </c>
      <c r="T27" s="6">
        <v>-2.04</v>
      </c>
      <c r="U27" s="6">
        <v>14.3</v>
      </c>
      <c r="AC27" s="3" t="s">
        <v>81</v>
      </c>
      <c r="AD27" s="13">
        <v>33.190330000000003</v>
      </c>
      <c r="AE27" s="8">
        <v>-87.542952999999997</v>
      </c>
      <c r="AH27" s="3">
        <v>2000</v>
      </c>
      <c r="AI27" s="3">
        <v>12</v>
      </c>
      <c r="AJ27" s="8">
        <v>16</v>
      </c>
      <c r="AK27" s="3">
        <v>2000</v>
      </c>
      <c r="AL27" s="3">
        <v>12</v>
      </c>
      <c r="AM27" s="3">
        <v>17</v>
      </c>
      <c r="AN27" s="29">
        <v>12</v>
      </c>
      <c r="AO27" s="3">
        <v>75</v>
      </c>
      <c r="AR27" s="3">
        <v>75</v>
      </c>
      <c r="AU27" s="3">
        <v>200500</v>
      </c>
      <c r="AV27" s="3">
        <v>340751</v>
      </c>
      <c r="AW27" s="3">
        <v>500000</v>
      </c>
      <c r="AX27" s="3">
        <v>849753</v>
      </c>
      <c r="AY27" s="3">
        <v>58.840648491749697</v>
      </c>
      <c r="AZ27" s="3" t="s">
        <v>206</v>
      </c>
      <c r="BA27" s="3" t="s">
        <v>207</v>
      </c>
      <c r="BB27" s="3" t="s">
        <v>208</v>
      </c>
      <c r="BC27" s="3" t="s">
        <v>209</v>
      </c>
      <c r="BD27" s="8">
        <v>2</v>
      </c>
    </row>
    <row r="28" spans="1:56" ht="14.25" customHeight="1" thickBot="1">
      <c r="A28" s="3" t="s">
        <v>210</v>
      </c>
      <c r="B28" s="3" t="s">
        <v>69</v>
      </c>
      <c r="C28" s="3" t="s">
        <v>211</v>
      </c>
      <c r="E28" s="3" t="s">
        <v>71</v>
      </c>
      <c r="F28" s="3">
        <f t="shared" si="0"/>
        <v>2</v>
      </c>
      <c r="G28" s="3" t="s">
        <v>72</v>
      </c>
      <c r="H28" s="3">
        <f t="shared" si="1"/>
        <v>2</v>
      </c>
      <c r="I28" s="3" t="s">
        <v>73</v>
      </c>
      <c r="J28" s="3" t="s">
        <v>212</v>
      </c>
      <c r="L28" s="3" t="s">
        <v>213</v>
      </c>
      <c r="M28" s="3" t="s">
        <v>97</v>
      </c>
      <c r="N28" s="3" t="s">
        <v>98</v>
      </c>
      <c r="O28" s="3" t="s">
        <v>78</v>
      </c>
      <c r="P28" s="3" t="s">
        <v>79</v>
      </c>
      <c r="Q28" s="3" t="s">
        <v>214</v>
      </c>
      <c r="S28" s="6">
        <v>28.33</v>
      </c>
      <c r="T28" s="6">
        <v>23.32</v>
      </c>
      <c r="U28" s="6">
        <v>30.91</v>
      </c>
      <c r="AC28" s="3" t="s">
        <v>81</v>
      </c>
      <c r="AD28" s="9">
        <v>25.636420000000001</v>
      </c>
      <c r="AE28" s="11">
        <v>-80.498946700000005</v>
      </c>
      <c r="AH28" s="3">
        <v>2000</v>
      </c>
      <c r="AI28" s="3">
        <v>10</v>
      </c>
      <c r="AJ28" s="8">
        <v>4</v>
      </c>
      <c r="AK28" s="3">
        <v>2000</v>
      </c>
      <c r="AL28" s="3">
        <v>10</v>
      </c>
      <c r="AM28" s="3">
        <v>4</v>
      </c>
      <c r="AN28" s="29">
        <v>2</v>
      </c>
      <c r="AP28" s="3">
        <v>14418</v>
      </c>
      <c r="AQ28" s="3">
        <v>3015</v>
      </c>
      <c r="AR28" s="3">
        <v>17433</v>
      </c>
      <c r="AW28" s="3">
        <v>219000</v>
      </c>
      <c r="AX28" s="3">
        <v>372192</v>
      </c>
      <c r="AY28" s="3">
        <v>58.840648491749697</v>
      </c>
      <c r="AZ28" s="3" t="s">
        <v>82</v>
      </c>
      <c r="BB28" s="3" t="s">
        <v>215</v>
      </c>
      <c r="BC28" s="3" t="s">
        <v>216</v>
      </c>
      <c r="BD28" s="8">
        <v>5</v>
      </c>
    </row>
    <row r="29" spans="1:56" ht="14.25" customHeight="1" thickBot="1">
      <c r="A29" s="3" t="s">
        <v>217</v>
      </c>
      <c r="B29" s="3" t="s">
        <v>69</v>
      </c>
      <c r="C29" s="3" t="s">
        <v>218</v>
      </c>
      <c r="E29" s="3" t="s">
        <v>71</v>
      </c>
      <c r="F29" s="3">
        <f t="shared" si="0"/>
        <v>2</v>
      </c>
      <c r="G29" s="3" t="s">
        <v>72</v>
      </c>
      <c r="H29" s="3">
        <f t="shared" si="1"/>
        <v>4</v>
      </c>
      <c r="I29" s="3" t="s">
        <v>219</v>
      </c>
      <c r="J29" s="3" t="s">
        <v>220</v>
      </c>
      <c r="M29" s="3" t="s">
        <v>97</v>
      </c>
      <c r="N29" s="3" t="s">
        <v>98</v>
      </c>
      <c r="O29" s="3" t="s">
        <v>78</v>
      </c>
      <c r="P29" s="3" t="s">
        <v>79</v>
      </c>
      <c r="Q29" s="3" t="s">
        <v>221</v>
      </c>
      <c r="S29" s="6">
        <v>0</v>
      </c>
      <c r="T29" s="6">
        <v>22.75</v>
      </c>
      <c r="U29" s="6">
        <v>34.69</v>
      </c>
      <c r="AB29" s="3">
        <v>38</v>
      </c>
      <c r="AC29" s="3" t="s">
        <v>222</v>
      </c>
      <c r="AD29" s="9">
        <v>31.26389</v>
      </c>
      <c r="AE29" s="11">
        <v>-98.545611600000001</v>
      </c>
      <c r="AH29" s="3">
        <v>2000</v>
      </c>
      <c r="AI29" s="3">
        <v>7</v>
      </c>
      <c r="AJ29" s="8">
        <v>1</v>
      </c>
      <c r="AK29" s="3">
        <v>2000</v>
      </c>
      <c r="AL29" s="3">
        <v>7</v>
      </c>
      <c r="AN29" s="29">
        <v>35</v>
      </c>
      <c r="AY29" s="3">
        <v>58.840648491749697</v>
      </c>
      <c r="AZ29" s="3" t="s">
        <v>89</v>
      </c>
      <c r="BA29" s="3" t="s">
        <v>223</v>
      </c>
      <c r="BC29" s="3" t="s">
        <v>224</v>
      </c>
      <c r="BD29" s="8">
        <v>0</v>
      </c>
    </row>
    <row r="30" spans="1:56" ht="14.25" customHeight="1" thickBot="1">
      <c r="A30" s="3" t="s">
        <v>225</v>
      </c>
      <c r="B30" s="3" t="s">
        <v>69</v>
      </c>
      <c r="C30" s="3" t="s">
        <v>226</v>
      </c>
      <c r="E30" s="3" t="s">
        <v>71</v>
      </c>
      <c r="F30" s="3">
        <f t="shared" si="0"/>
        <v>3</v>
      </c>
      <c r="G30" s="3" t="s">
        <v>119</v>
      </c>
      <c r="H30" s="3">
        <f t="shared" si="1"/>
        <v>3</v>
      </c>
      <c r="I30" s="3" t="s">
        <v>122</v>
      </c>
      <c r="J30" s="3" t="s">
        <v>227</v>
      </c>
      <c r="M30" s="3" t="s">
        <v>97</v>
      </c>
      <c r="N30" s="3" t="s">
        <v>98</v>
      </c>
      <c r="O30" s="3" t="s">
        <v>78</v>
      </c>
      <c r="P30" s="3" t="s">
        <v>79</v>
      </c>
      <c r="Q30" s="3" t="s">
        <v>228</v>
      </c>
      <c r="S30" s="6">
        <v>0</v>
      </c>
      <c r="T30" s="6">
        <v>0.75</v>
      </c>
      <c r="U30" s="6">
        <v>16.45</v>
      </c>
      <c r="AB30" s="3">
        <v>113</v>
      </c>
      <c r="AC30" s="3" t="s">
        <v>102</v>
      </c>
      <c r="AD30" s="9">
        <v>29.651969999999999</v>
      </c>
      <c r="AE30" s="11">
        <v>-82.324984599999993</v>
      </c>
      <c r="AH30" s="3">
        <v>2000</v>
      </c>
      <c r="AI30" s="3">
        <v>2</v>
      </c>
      <c r="AJ30" s="8">
        <v>26</v>
      </c>
      <c r="AK30" s="3">
        <v>2000</v>
      </c>
      <c r="AL30" s="3">
        <v>2</v>
      </c>
      <c r="AM30" s="3">
        <v>26</v>
      </c>
      <c r="AN30" s="29">
        <v>0</v>
      </c>
      <c r="AP30" s="3">
        <v>600</v>
      </c>
      <c r="AR30" s="3">
        <v>600</v>
      </c>
      <c r="AY30" s="3">
        <v>58.840648491749697</v>
      </c>
      <c r="AZ30" s="3" t="s">
        <v>82</v>
      </c>
      <c r="BB30" s="3" t="s">
        <v>229</v>
      </c>
      <c r="BC30" s="3" t="s">
        <v>230</v>
      </c>
      <c r="BD30" s="8">
        <v>3</v>
      </c>
    </row>
    <row r="31" spans="1:56" ht="14.25" customHeight="1" thickBot="1">
      <c r="A31" s="3" t="s">
        <v>231</v>
      </c>
      <c r="B31" s="3" t="s">
        <v>69</v>
      </c>
      <c r="C31" s="3" t="s">
        <v>232</v>
      </c>
      <c r="E31" s="3" t="s">
        <v>71</v>
      </c>
      <c r="F31" s="3">
        <f t="shared" si="0"/>
        <v>3</v>
      </c>
      <c r="G31" s="3" t="s">
        <v>119</v>
      </c>
      <c r="H31" s="3">
        <f t="shared" si="1"/>
        <v>3</v>
      </c>
      <c r="I31" s="3" t="s">
        <v>122</v>
      </c>
      <c r="J31" s="3" t="s">
        <v>227</v>
      </c>
      <c r="M31" s="3" t="s">
        <v>97</v>
      </c>
      <c r="N31" s="3" t="s">
        <v>98</v>
      </c>
      <c r="O31" s="3" t="s">
        <v>78</v>
      </c>
      <c r="P31" s="3" t="s">
        <v>79</v>
      </c>
      <c r="Q31" s="3" t="s">
        <v>233</v>
      </c>
      <c r="S31" s="6">
        <v>0</v>
      </c>
      <c r="T31" s="6">
        <v>0.18</v>
      </c>
      <c r="U31" s="6">
        <v>17.8</v>
      </c>
      <c r="AB31" s="3">
        <v>194</v>
      </c>
      <c r="AC31" s="3" t="s">
        <v>102</v>
      </c>
      <c r="AD31" s="9">
        <v>35.881369999999997</v>
      </c>
      <c r="AE31" s="11">
        <v>-106.298959</v>
      </c>
      <c r="AH31" s="3">
        <v>2000</v>
      </c>
      <c r="AI31" s="3">
        <v>5</v>
      </c>
      <c r="AJ31" s="8">
        <v>1</v>
      </c>
      <c r="AK31" s="3">
        <v>2000</v>
      </c>
      <c r="AL31" s="3">
        <v>9</v>
      </c>
      <c r="AN31" s="29">
        <v>0</v>
      </c>
      <c r="AP31" s="3">
        <v>25000</v>
      </c>
      <c r="AQ31" s="3">
        <v>400</v>
      </c>
      <c r="AR31" s="3">
        <v>25400</v>
      </c>
      <c r="AU31" s="3">
        <v>200500</v>
      </c>
      <c r="AV31" s="3">
        <v>340751</v>
      </c>
      <c r="AW31" s="3">
        <v>1500000</v>
      </c>
      <c r="AX31" s="3">
        <v>2549258</v>
      </c>
      <c r="AY31" s="3">
        <v>58.840648491749697</v>
      </c>
      <c r="AZ31" s="3" t="s">
        <v>82</v>
      </c>
      <c r="BB31" s="3" t="s">
        <v>234</v>
      </c>
      <c r="BC31" s="3" t="s">
        <v>235</v>
      </c>
      <c r="BD31" s="8">
        <v>5</v>
      </c>
    </row>
    <row r="32" spans="1:56" ht="14.25" customHeight="1" thickBot="1">
      <c r="A32" s="3" t="s">
        <v>236</v>
      </c>
      <c r="B32" s="3" t="s">
        <v>69</v>
      </c>
      <c r="C32" s="3" t="s">
        <v>237</v>
      </c>
      <c r="E32" s="3" t="s">
        <v>71</v>
      </c>
      <c r="F32" s="3">
        <f t="shared" si="0"/>
        <v>3</v>
      </c>
      <c r="G32" s="3" t="s">
        <v>119</v>
      </c>
      <c r="H32" s="3">
        <f t="shared" si="1"/>
        <v>3</v>
      </c>
      <c r="I32" s="3" t="s">
        <v>122</v>
      </c>
      <c r="J32" s="3" t="s">
        <v>227</v>
      </c>
      <c r="M32" s="3" t="s">
        <v>97</v>
      </c>
      <c r="N32" s="3" t="s">
        <v>98</v>
      </c>
      <c r="O32" s="3" t="s">
        <v>78</v>
      </c>
      <c r="P32" s="3" t="s">
        <v>79</v>
      </c>
      <c r="Q32" s="3" t="s">
        <v>238</v>
      </c>
      <c r="S32" s="6">
        <v>0</v>
      </c>
      <c r="T32" s="6">
        <v>13.97</v>
      </c>
      <c r="U32" s="6">
        <v>28.72</v>
      </c>
      <c r="AB32" s="3">
        <v>16</v>
      </c>
      <c r="AC32" s="3" t="s">
        <v>102</v>
      </c>
      <c r="AD32" s="14">
        <v>27.318351</v>
      </c>
      <c r="AE32" s="11">
        <v>-82.534537</v>
      </c>
      <c r="AH32" s="3">
        <v>2000</v>
      </c>
      <c r="AI32" s="3">
        <v>5</v>
      </c>
      <c r="AJ32" s="8">
        <v>14</v>
      </c>
      <c r="AK32" s="3">
        <v>2000</v>
      </c>
      <c r="AL32" s="3">
        <v>5</v>
      </c>
      <c r="AM32" s="3">
        <v>14</v>
      </c>
      <c r="AN32" s="29">
        <v>0</v>
      </c>
      <c r="AY32" s="3">
        <v>58.840648491749697</v>
      </c>
      <c r="AZ32" s="3" t="s">
        <v>82</v>
      </c>
      <c r="BB32" s="3" t="s">
        <v>239</v>
      </c>
      <c r="BC32" s="3" t="s">
        <v>240</v>
      </c>
      <c r="BD32" s="8">
        <v>0</v>
      </c>
    </row>
    <row r="33" spans="1:56" ht="14.25" customHeight="1" thickBot="1">
      <c r="A33" s="3" t="s">
        <v>241</v>
      </c>
      <c r="B33" s="3" t="s">
        <v>69</v>
      </c>
      <c r="C33" s="3" t="s">
        <v>242</v>
      </c>
      <c r="E33" s="3" t="s">
        <v>71</v>
      </c>
      <c r="F33" s="3">
        <f t="shared" si="0"/>
        <v>3</v>
      </c>
      <c r="G33" s="3" t="s">
        <v>119</v>
      </c>
      <c r="H33" s="3">
        <f t="shared" si="1"/>
        <v>3</v>
      </c>
      <c r="I33" s="3" t="s">
        <v>122</v>
      </c>
      <c r="J33" s="3" t="s">
        <v>227</v>
      </c>
      <c r="M33" s="3" t="s">
        <v>97</v>
      </c>
      <c r="N33" s="3" t="s">
        <v>98</v>
      </c>
      <c r="O33" s="3" t="s">
        <v>78</v>
      </c>
      <c r="P33" s="3" t="s">
        <v>79</v>
      </c>
      <c r="Q33" s="3" t="s">
        <v>243</v>
      </c>
      <c r="S33" s="6">
        <v>0</v>
      </c>
      <c r="T33" s="6">
        <v>4.24</v>
      </c>
      <c r="U33" s="6">
        <v>18.09</v>
      </c>
      <c r="AB33" s="3">
        <v>85</v>
      </c>
      <c r="AC33" s="3" t="s">
        <v>102</v>
      </c>
      <c r="AD33" s="15">
        <v>40.586329999999997</v>
      </c>
      <c r="AE33" s="11">
        <v>-105.413201</v>
      </c>
      <c r="AH33" s="3">
        <v>2000</v>
      </c>
      <c r="AI33" s="3">
        <v>6</v>
      </c>
      <c r="AJ33" s="8">
        <v>12</v>
      </c>
      <c r="AK33" s="3">
        <v>2000</v>
      </c>
      <c r="AL33" s="3">
        <v>6</v>
      </c>
      <c r="AM33" s="3">
        <v>12</v>
      </c>
      <c r="AN33" s="29">
        <v>0</v>
      </c>
      <c r="AP33" s="3">
        <v>800</v>
      </c>
      <c r="AQ33" s="3">
        <v>210</v>
      </c>
      <c r="AR33" s="3">
        <v>1010</v>
      </c>
      <c r="AY33" s="3">
        <v>58.840648491749697</v>
      </c>
      <c r="AZ33" s="3" t="s">
        <v>82</v>
      </c>
      <c r="BB33" s="3" t="s">
        <v>244</v>
      </c>
      <c r="BC33" s="3" t="s">
        <v>245</v>
      </c>
      <c r="BD33" s="8">
        <v>4</v>
      </c>
    </row>
    <row r="34" spans="1:56" ht="14.25" customHeight="1" thickBot="1">
      <c r="A34" s="3" t="s">
        <v>246</v>
      </c>
      <c r="B34" s="3" t="s">
        <v>69</v>
      </c>
      <c r="C34" s="3" t="s">
        <v>247</v>
      </c>
      <c r="E34" s="3" t="s">
        <v>71</v>
      </c>
      <c r="F34" s="3">
        <f t="shared" si="0"/>
        <v>3</v>
      </c>
      <c r="G34" s="3" t="s">
        <v>119</v>
      </c>
      <c r="H34" s="3">
        <f t="shared" si="1"/>
        <v>3</v>
      </c>
      <c r="I34" s="3" t="s">
        <v>122</v>
      </c>
      <c r="J34" s="3" t="s">
        <v>227</v>
      </c>
      <c r="M34" s="3" t="s">
        <v>97</v>
      </c>
      <c r="N34" s="3" t="s">
        <v>98</v>
      </c>
      <c r="O34" s="3" t="s">
        <v>78</v>
      </c>
      <c r="P34" s="3" t="s">
        <v>79</v>
      </c>
      <c r="Q34" s="3" t="s">
        <v>248</v>
      </c>
      <c r="S34" s="6">
        <v>0</v>
      </c>
      <c r="T34" s="6">
        <v>5.03</v>
      </c>
      <c r="U34" s="6">
        <v>22.2</v>
      </c>
      <c r="AB34" s="3">
        <v>607</v>
      </c>
      <c r="AC34" s="3" t="s">
        <v>102</v>
      </c>
      <c r="AD34" s="13">
        <v>46.193714999999997</v>
      </c>
      <c r="AE34" s="11">
        <v>-119.570294</v>
      </c>
      <c r="AH34" s="3">
        <v>2000</v>
      </c>
      <c r="AI34" s="3">
        <v>6</v>
      </c>
      <c r="AJ34" s="8">
        <v>27</v>
      </c>
      <c r="AK34" s="3">
        <v>2000</v>
      </c>
      <c r="AL34" s="3">
        <v>6</v>
      </c>
      <c r="AM34" s="3">
        <v>27</v>
      </c>
      <c r="AN34" s="29">
        <v>0</v>
      </c>
      <c r="AO34" s="3">
        <v>2</v>
      </c>
      <c r="AP34" s="3">
        <v>8000</v>
      </c>
      <c r="AQ34" s="3">
        <v>75</v>
      </c>
      <c r="AR34" s="3">
        <v>8077</v>
      </c>
      <c r="AY34" s="3">
        <v>58.840648491749697</v>
      </c>
      <c r="AZ34" s="3" t="s">
        <v>82</v>
      </c>
      <c r="BB34" s="3" t="s">
        <v>249</v>
      </c>
      <c r="BC34" s="3" t="s">
        <v>250</v>
      </c>
      <c r="BD34" s="8">
        <v>4</v>
      </c>
    </row>
    <row r="35" spans="1:56" ht="14.25" customHeight="1" thickBot="1">
      <c r="A35" s="3" t="s">
        <v>251</v>
      </c>
      <c r="B35" s="3" t="s">
        <v>69</v>
      </c>
      <c r="C35" s="3" t="s">
        <v>252</v>
      </c>
      <c r="E35" s="3" t="s">
        <v>71</v>
      </c>
      <c r="F35" s="3">
        <f t="shared" si="0"/>
        <v>3</v>
      </c>
      <c r="G35" s="3" t="s">
        <v>119</v>
      </c>
      <c r="H35" s="3">
        <f t="shared" si="1"/>
        <v>3</v>
      </c>
      <c r="I35" s="3" t="s">
        <v>122</v>
      </c>
      <c r="J35" s="3" t="s">
        <v>227</v>
      </c>
      <c r="M35" s="3" t="s">
        <v>97</v>
      </c>
      <c r="N35" s="3" t="s">
        <v>98</v>
      </c>
      <c r="O35" s="3" t="s">
        <v>78</v>
      </c>
      <c r="P35" s="3" t="s">
        <v>79</v>
      </c>
      <c r="Q35" s="3" t="s">
        <v>253</v>
      </c>
      <c r="S35" s="6">
        <v>0</v>
      </c>
      <c r="T35" s="6">
        <v>8.24</v>
      </c>
      <c r="U35" s="6">
        <v>17.489999999999998</v>
      </c>
      <c r="AB35" s="3">
        <v>2363</v>
      </c>
      <c r="AC35" s="3" t="s">
        <v>102</v>
      </c>
      <c r="AD35" s="15">
        <v>61.19144</v>
      </c>
      <c r="AE35" s="11">
        <v>-149.55476999999999</v>
      </c>
      <c r="AH35" s="3">
        <v>2000</v>
      </c>
      <c r="AI35" s="3">
        <v>7</v>
      </c>
      <c r="AJ35" s="8">
        <v>1</v>
      </c>
      <c r="AK35" s="3">
        <v>2000</v>
      </c>
      <c r="AL35" s="3">
        <v>7</v>
      </c>
      <c r="AN35" s="29">
        <v>0</v>
      </c>
      <c r="AY35" s="3">
        <v>58.840648491749697</v>
      </c>
      <c r="AZ35" s="3" t="s">
        <v>89</v>
      </c>
      <c r="BA35" s="3" t="s">
        <v>254</v>
      </c>
      <c r="BC35" s="3" t="s">
        <v>255</v>
      </c>
      <c r="BD35" s="8">
        <v>0</v>
      </c>
    </row>
    <row r="36" spans="1:56" ht="14.25" customHeight="1" thickBot="1">
      <c r="A36" s="3" t="s">
        <v>256</v>
      </c>
      <c r="B36" s="3" t="s">
        <v>69</v>
      </c>
      <c r="C36" s="3" t="s">
        <v>257</v>
      </c>
      <c r="E36" s="3" t="s">
        <v>71</v>
      </c>
      <c r="F36" s="3">
        <f t="shared" si="0"/>
        <v>3</v>
      </c>
      <c r="G36" s="3" t="s">
        <v>119</v>
      </c>
      <c r="H36" s="3">
        <f t="shared" si="1"/>
        <v>3</v>
      </c>
      <c r="I36" s="3" t="s">
        <v>122</v>
      </c>
      <c r="J36" s="3" t="s">
        <v>227</v>
      </c>
      <c r="M36" s="3" t="s">
        <v>97</v>
      </c>
      <c r="N36" s="3" t="s">
        <v>98</v>
      </c>
      <c r="O36" s="3" t="s">
        <v>78</v>
      </c>
      <c r="P36" s="3" t="s">
        <v>79</v>
      </c>
      <c r="Q36" s="3" t="s">
        <v>258</v>
      </c>
      <c r="S36" s="6">
        <v>0</v>
      </c>
      <c r="T36" s="6">
        <v>22.75</v>
      </c>
      <c r="U36" s="6">
        <v>34.69</v>
      </c>
      <c r="AB36" s="3">
        <v>680000</v>
      </c>
      <c r="AC36" s="3" t="s">
        <v>102</v>
      </c>
      <c r="AD36" s="9">
        <v>31.26389</v>
      </c>
      <c r="AE36" s="11">
        <v>-98.545611600000001</v>
      </c>
      <c r="AH36" s="3">
        <v>2000</v>
      </c>
      <c r="AI36" s="3">
        <v>7</v>
      </c>
      <c r="AJ36" s="8">
        <v>1</v>
      </c>
      <c r="AK36" s="3">
        <v>2000</v>
      </c>
      <c r="AL36" s="3">
        <v>8</v>
      </c>
      <c r="AN36" s="29">
        <v>14</v>
      </c>
      <c r="AP36" s="3">
        <v>1000</v>
      </c>
      <c r="AR36" s="3">
        <v>1000</v>
      </c>
      <c r="AW36" s="3">
        <v>1000000</v>
      </c>
      <c r="AX36" s="3">
        <v>1699505</v>
      </c>
      <c r="AY36" s="3">
        <v>58.840648491749697</v>
      </c>
      <c r="AZ36" s="3" t="s">
        <v>89</v>
      </c>
      <c r="BA36" s="3" t="s">
        <v>259</v>
      </c>
      <c r="BC36" s="3" t="s">
        <v>260</v>
      </c>
      <c r="BD36" s="8">
        <v>4</v>
      </c>
    </row>
    <row r="37" spans="1:56" ht="14.25" customHeight="1" thickBot="1">
      <c r="A37" s="3" t="s">
        <v>261</v>
      </c>
      <c r="B37" s="3" t="s">
        <v>69</v>
      </c>
      <c r="C37" s="3" t="s">
        <v>262</v>
      </c>
      <c r="E37" s="3" t="s">
        <v>71</v>
      </c>
      <c r="F37" s="3">
        <f t="shared" si="0"/>
        <v>3</v>
      </c>
      <c r="G37" s="3" t="s">
        <v>119</v>
      </c>
      <c r="H37" s="3">
        <f t="shared" si="1"/>
        <v>7</v>
      </c>
      <c r="I37" s="3" t="s">
        <v>120</v>
      </c>
      <c r="J37" s="3" t="s">
        <v>120</v>
      </c>
      <c r="M37" s="3" t="s">
        <v>97</v>
      </c>
      <c r="N37" s="3" t="s">
        <v>98</v>
      </c>
      <c r="O37" s="3" t="s">
        <v>78</v>
      </c>
      <c r="P37" s="3" t="s">
        <v>79</v>
      </c>
      <c r="Q37" s="3" t="s">
        <v>263</v>
      </c>
      <c r="S37" s="6">
        <v>0</v>
      </c>
      <c r="T37" s="6">
        <v>21.05</v>
      </c>
      <c r="U37" s="6">
        <v>32.32</v>
      </c>
      <c r="Z37" s="3" t="s">
        <v>264</v>
      </c>
      <c r="AC37" s="3" t="s">
        <v>102</v>
      </c>
      <c r="AD37" s="9">
        <v>31.26389</v>
      </c>
      <c r="AE37" s="11">
        <v>-98.545611600000001</v>
      </c>
      <c r="AH37" s="3">
        <v>2000</v>
      </c>
      <c r="AI37" s="3">
        <v>6</v>
      </c>
      <c r="AJ37" s="8">
        <v>1</v>
      </c>
      <c r="AK37" s="3">
        <v>2002</v>
      </c>
      <c r="AN37" s="29">
        <v>0</v>
      </c>
      <c r="AW37" s="3">
        <v>1100000</v>
      </c>
      <c r="AX37" s="3">
        <v>1869456</v>
      </c>
      <c r="AY37" s="3">
        <v>58.840648491749697</v>
      </c>
      <c r="AZ37" s="3" t="s">
        <v>89</v>
      </c>
      <c r="BA37" s="3" t="s">
        <v>265</v>
      </c>
      <c r="BC37" s="3" t="s">
        <v>266</v>
      </c>
      <c r="BD37" s="8">
        <v>0</v>
      </c>
    </row>
    <row r="38" spans="1:56" ht="14.25" customHeight="1" thickBot="1">
      <c r="A38" s="3" t="s">
        <v>267</v>
      </c>
      <c r="B38" s="3" t="s">
        <v>69</v>
      </c>
      <c r="C38" s="3" t="s">
        <v>268</v>
      </c>
      <c r="E38" s="3" t="s">
        <v>71</v>
      </c>
      <c r="F38" s="3">
        <f t="shared" si="0"/>
        <v>1</v>
      </c>
      <c r="G38" s="3" t="s">
        <v>94</v>
      </c>
      <c r="H38" s="3">
        <f t="shared" si="1"/>
        <v>1</v>
      </c>
      <c r="I38" s="3" t="s">
        <v>95</v>
      </c>
      <c r="M38" s="3" t="s">
        <v>97</v>
      </c>
      <c r="N38" s="3" t="s">
        <v>98</v>
      </c>
      <c r="O38" s="3" t="s">
        <v>78</v>
      </c>
      <c r="P38" s="3" t="s">
        <v>79</v>
      </c>
      <c r="Q38" s="3" t="s">
        <v>269</v>
      </c>
      <c r="S38" s="6">
        <v>20.52</v>
      </c>
      <c r="T38" s="6">
        <v>14.04</v>
      </c>
      <c r="U38" s="6">
        <v>26.13</v>
      </c>
      <c r="AC38" s="3" t="s">
        <v>102</v>
      </c>
      <c r="AD38" s="9">
        <v>31.26389</v>
      </c>
      <c r="AE38" s="11">
        <v>-98.545611600000001</v>
      </c>
      <c r="AH38" s="3">
        <v>2000</v>
      </c>
      <c r="AI38" s="3">
        <v>5</v>
      </c>
      <c r="AJ38" s="8">
        <v>19</v>
      </c>
      <c r="AK38" s="3">
        <v>2000</v>
      </c>
      <c r="AL38" s="3">
        <v>5</v>
      </c>
      <c r="AM38" s="3">
        <v>19</v>
      </c>
      <c r="AN38" s="29">
        <v>0</v>
      </c>
      <c r="AP38" s="3">
        <v>240</v>
      </c>
      <c r="AR38" s="3">
        <v>240</v>
      </c>
      <c r="AY38" s="3">
        <v>58.840648491749697</v>
      </c>
      <c r="AZ38" s="3" t="s">
        <v>82</v>
      </c>
      <c r="BB38" s="3" t="s">
        <v>270</v>
      </c>
      <c r="BC38" s="3" t="s">
        <v>271</v>
      </c>
      <c r="BD38" s="8">
        <v>3</v>
      </c>
    </row>
    <row r="39" spans="1:56" ht="14.25" customHeight="1" thickBot="1">
      <c r="A39" s="3" t="s">
        <v>272</v>
      </c>
      <c r="B39" s="3" t="s">
        <v>69</v>
      </c>
      <c r="C39" s="3" t="s">
        <v>273</v>
      </c>
      <c r="E39" s="3" t="s">
        <v>71</v>
      </c>
      <c r="F39" s="3">
        <f t="shared" si="0"/>
        <v>1</v>
      </c>
      <c r="G39" s="3" t="s">
        <v>94</v>
      </c>
      <c r="H39" s="3">
        <f t="shared" si="1"/>
        <v>1</v>
      </c>
      <c r="I39" s="3" t="s">
        <v>95</v>
      </c>
      <c r="M39" s="3" t="s">
        <v>97</v>
      </c>
      <c r="N39" s="3" t="s">
        <v>98</v>
      </c>
      <c r="O39" s="3" t="s">
        <v>78</v>
      </c>
      <c r="P39" s="3" t="s">
        <v>79</v>
      </c>
      <c r="Q39" s="3" t="s">
        <v>274</v>
      </c>
      <c r="S39" s="6">
        <v>0</v>
      </c>
      <c r="T39" s="6">
        <v>12.32</v>
      </c>
      <c r="U39" s="6">
        <v>25.91</v>
      </c>
      <c r="AC39" s="3" t="s">
        <v>102</v>
      </c>
      <c r="AD39" s="13">
        <v>38.532964999999997</v>
      </c>
      <c r="AE39" s="11">
        <v>-92.164240000000007</v>
      </c>
      <c r="AH39" s="3">
        <v>2000</v>
      </c>
      <c r="AI39" s="3">
        <v>5</v>
      </c>
      <c r="AJ39" s="8">
        <v>23</v>
      </c>
      <c r="AK39" s="3">
        <v>2000</v>
      </c>
      <c r="AL39" s="3">
        <v>5</v>
      </c>
      <c r="AM39" s="3">
        <v>23</v>
      </c>
      <c r="AN39" s="29">
        <v>2</v>
      </c>
      <c r="AP39" s="3">
        <v>300</v>
      </c>
      <c r="AR39" s="3">
        <v>300</v>
      </c>
      <c r="AW39" s="3">
        <v>100000</v>
      </c>
      <c r="AX39" s="3">
        <v>169951</v>
      </c>
      <c r="AY39" s="3">
        <v>58.840648491749697</v>
      </c>
      <c r="AZ39" s="3" t="s">
        <v>82</v>
      </c>
      <c r="BB39" s="3" t="s">
        <v>275</v>
      </c>
      <c r="BC39" s="3" t="s">
        <v>276</v>
      </c>
      <c r="BD39" s="8">
        <v>3</v>
      </c>
    </row>
    <row r="40" spans="1:56" ht="14.25" customHeight="1" thickBot="1">
      <c r="A40" s="3" t="s">
        <v>277</v>
      </c>
      <c r="B40" s="3" t="s">
        <v>69</v>
      </c>
      <c r="C40" s="3" t="s">
        <v>278</v>
      </c>
      <c r="E40" s="3" t="s">
        <v>71</v>
      </c>
      <c r="F40" s="3">
        <f t="shared" si="0"/>
        <v>1</v>
      </c>
      <c r="G40" s="3" t="s">
        <v>94</v>
      </c>
      <c r="H40" s="3">
        <f t="shared" si="1"/>
        <v>1</v>
      </c>
      <c r="I40" s="3" t="s">
        <v>95</v>
      </c>
      <c r="M40" s="3" t="s">
        <v>97</v>
      </c>
      <c r="N40" s="3" t="s">
        <v>98</v>
      </c>
      <c r="O40" s="3" t="s">
        <v>78</v>
      </c>
      <c r="P40" s="3" t="s">
        <v>79</v>
      </c>
      <c r="Q40" s="3" t="s">
        <v>279</v>
      </c>
      <c r="S40" s="6">
        <v>12.05</v>
      </c>
      <c r="T40" s="6">
        <v>10.01</v>
      </c>
      <c r="U40" s="6">
        <v>25.43</v>
      </c>
      <c r="AC40" s="3" t="s">
        <v>102</v>
      </c>
      <c r="AD40" s="13">
        <v>40.735429000000003</v>
      </c>
      <c r="AE40" s="11">
        <v>-77.782369000000003</v>
      </c>
      <c r="AH40" s="3">
        <v>2000</v>
      </c>
      <c r="AI40" s="3">
        <v>7</v>
      </c>
      <c r="AJ40" s="8">
        <v>30</v>
      </c>
      <c r="AK40" s="3">
        <v>2000</v>
      </c>
      <c r="AL40" s="3">
        <v>7</v>
      </c>
      <c r="AM40" s="3">
        <v>30</v>
      </c>
      <c r="AN40" s="29">
        <v>0</v>
      </c>
      <c r="AP40" s="3">
        <v>300</v>
      </c>
      <c r="AR40" s="3">
        <v>300</v>
      </c>
      <c r="AY40" s="3">
        <v>58.840648491749697</v>
      </c>
      <c r="AZ40" s="3" t="s">
        <v>89</v>
      </c>
      <c r="BA40" s="3" t="s">
        <v>280</v>
      </c>
      <c r="BC40" s="3" t="s">
        <v>281</v>
      </c>
      <c r="BD40" s="8">
        <v>3</v>
      </c>
    </row>
    <row r="41" spans="1:56" ht="14.25" customHeight="1" thickBot="1">
      <c r="A41" s="3" t="s">
        <v>282</v>
      </c>
      <c r="B41" s="3" t="s">
        <v>86</v>
      </c>
      <c r="C41" s="3" t="s">
        <v>283</v>
      </c>
      <c r="E41" s="3" t="s">
        <v>71</v>
      </c>
      <c r="F41" s="3">
        <f t="shared" si="0"/>
        <v>2</v>
      </c>
      <c r="G41" s="3" t="s">
        <v>72</v>
      </c>
      <c r="H41" s="3">
        <f t="shared" si="1"/>
        <v>2</v>
      </c>
      <c r="I41" s="3" t="s">
        <v>73</v>
      </c>
      <c r="J41" s="3" t="s">
        <v>74</v>
      </c>
      <c r="K41" s="3" t="s">
        <v>127</v>
      </c>
      <c r="M41" s="3" t="s">
        <v>97</v>
      </c>
      <c r="N41" s="3" t="s">
        <v>98</v>
      </c>
      <c r="O41" s="3" t="s">
        <v>78</v>
      </c>
      <c r="P41" s="3" t="s">
        <v>79</v>
      </c>
      <c r="Q41" s="3" t="s">
        <v>284</v>
      </c>
      <c r="S41" s="6">
        <v>8.42</v>
      </c>
      <c r="T41" s="6">
        <v>-2.61</v>
      </c>
      <c r="U41" s="6">
        <v>13.54</v>
      </c>
      <c r="V41" s="3" t="s">
        <v>129</v>
      </c>
      <c r="AC41" s="3" t="s">
        <v>81</v>
      </c>
      <c r="AD41" s="9">
        <v>37.123220000000003</v>
      </c>
      <c r="AE41" s="11">
        <v>-78.492772099999996</v>
      </c>
      <c r="AH41" s="3">
        <v>2001</v>
      </c>
      <c r="AI41" s="3">
        <v>2</v>
      </c>
      <c r="AJ41" s="8">
        <v>22</v>
      </c>
      <c r="AK41" s="3">
        <v>2001</v>
      </c>
      <c r="AL41" s="3">
        <v>2</v>
      </c>
      <c r="AM41" s="3">
        <v>22</v>
      </c>
      <c r="AN41" s="29">
        <v>11</v>
      </c>
      <c r="AO41" s="3">
        <v>100</v>
      </c>
      <c r="AR41" s="3">
        <v>100</v>
      </c>
      <c r="AY41" s="3">
        <v>60.5035788853056</v>
      </c>
      <c r="AZ41" s="3" t="s">
        <v>89</v>
      </c>
      <c r="BA41" s="3" t="s">
        <v>285</v>
      </c>
      <c r="BC41" s="3" t="s">
        <v>286</v>
      </c>
      <c r="BD41" s="8">
        <v>3</v>
      </c>
    </row>
    <row r="42" spans="1:56" ht="14.25" customHeight="1" thickBot="1">
      <c r="A42" s="3" t="s">
        <v>287</v>
      </c>
      <c r="B42" s="3" t="s">
        <v>86</v>
      </c>
      <c r="C42" s="3" t="s">
        <v>288</v>
      </c>
      <c r="E42" s="3" t="s">
        <v>71</v>
      </c>
      <c r="F42" s="3">
        <f t="shared" si="0"/>
        <v>2</v>
      </c>
      <c r="G42" s="3" t="s">
        <v>72</v>
      </c>
      <c r="H42" s="3">
        <f t="shared" si="1"/>
        <v>2</v>
      </c>
      <c r="I42" s="3" t="s">
        <v>73</v>
      </c>
      <c r="J42" s="3" t="s">
        <v>74</v>
      </c>
      <c r="K42" s="3" t="s">
        <v>75</v>
      </c>
      <c r="M42" s="3" t="s">
        <v>97</v>
      </c>
      <c r="N42" s="3" t="s">
        <v>98</v>
      </c>
      <c r="O42" s="3" t="s">
        <v>78</v>
      </c>
      <c r="P42" s="3" t="s">
        <v>79</v>
      </c>
      <c r="Q42" s="3" t="s">
        <v>289</v>
      </c>
      <c r="S42" s="6">
        <v>0</v>
      </c>
      <c r="T42" s="6">
        <v>9.89</v>
      </c>
      <c r="U42" s="6">
        <v>14.74</v>
      </c>
      <c r="AC42" s="3" t="s">
        <v>81</v>
      </c>
      <c r="AD42" s="9">
        <v>28.503160000000001</v>
      </c>
      <c r="AE42" s="11">
        <v>-96.673655100000005</v>
      </c>
      <c r="AH42" s="3">
        <v>2001</v>
      </c>
      <c r="AI42" s="3">
        <v>2</v>
      </c>
      <c r="AJ42" s="8">
        <v>24</v>
      </c>
      <c r="AK42" s="3">
        <v>2001</v>
      </c>
      <c r="AL42" s="3">
        <v>2</v>
      </c>
      <c r="AM42" s="3">
        <v>24</v>
      </c>
      <c r="AN42" s="29">
        <v>7</v>
      </c>
      <c r="AO42" s="3">
        <v>30</v>
      </c>
      <c r="AP42" s="3">
        <v>900</v>
      </c>
      <c r="AR42" s="3">
        <v>930</v>
      </c>
      <c r="AU42" s="3">
        <v>200500</v>
      </c>
      <c r="AV42" s="3">
        <v>331385</v>
      </c>
      <c r="AW42" s="3">
        <v>250000</v>
      </c>
      <c r="AX42" s="3">
        <v>413199</v>
      </c>
      <c r="AY42" s="3">
        <v>60.5035788853056</v>
      </c>
      <c r="AZ42" s="3" t="s">
        <v>82</v>
      </c>
      <c r="BB42" s="3" t="s">
        <v>290</v>
      </c>
      <c r="BC42" s="3" t="s">
        <v>291</v>
      </c>
      <c r="BD42" s="8">
        <v>3</v>
      </c>
    </row>
    <row r="43" spans="1:56" ht="14.25" customHeight="1" thickBot="1">
      <c r="A43" s="3" t="s">
        <v>292</v>
      </c>
      <c r="B43" s="3" t="s">
        <v>86</v>
      </c>
      <c r="C43" s="3" t="s">
        <v>293</v>
      </c>
      <c r="E43" s="3" t="s">
        <v>71</v>
      </c>
      <c r="F43" s="3">
        <f t="shared" si="0"/>
        <v>5</v>
      </c>
      <c r="G43" s="3" t="s">
        <v>175</v>
      </c>
      <c r="H43" s="3">
        <f t="shared" si="1"/>
        <v>6</v>
      </c>
      <c r="I43" s="3" t="s">
        <v>176</v>
      </c>
      <c r="J43" s="3" t="s">
        <v>177</v>
      </c>
      <c r="M43" s="3" t="s">
        <v>97</v>
      </c>
      <c r="N43" s="3" t="s">
        <v>98</v>
      </c>
      <c r="O43" s="3" t="s">
        <v>78</v>
      </c>
      <c r="P43" s="3" t="s">
        <v>79</v>
      </c>
      <c r="Q43" s="3" t="s">
        <v>294</v>
      </c>
      <c r="S43" s="6">
        <v>0</v>
      </c>
      <c r="T43" s="6">
        <v>0.33</v>
      </c>
      <c r="U43" s="6">
        <v>10.7</v>
      </c>
      <c r="AB43" s="3">
        <v>7</v>
      </c>
      <c r="AC43" s="3" t="s">
        <v>179</v>
      </c>
      <c r="AD43" s="8">
        <v>47.149000000000001</v>
      </c>
      <c r="AE43" s="8">
        <v>-122.72666700000001</v>
      </c>
      <c r="AF43" s="3" t="s">
        <v>295</v>
      </c>
      <c r="AH43" s="3">
        <v>2001</v>
      </c>
      <c r="AI43" s="3">
        <v>2</v>
      </c>
      <c r="AJ43" s="8">
        <v>28</v>
      </c>
      <c r="AK43" s="3">
        <v>2001</v>
      </c>
      <c r="AL43" s="3">
        <v>2</v>
      </c>
      <c r="AM43" s="3">
        <v>28</v>
      </c>
      <c r="AN43" s="29">
        <v>1</v>
      </c>
      <c r="AO43" s="3">
        <v>400</v>
      </c>
      <c r="AR43" s="3">
        <v>400</v>
      </c>
      <c r="AU43" s="3">
        <v>305000</v>
      </c>
      <c r="AV43" s="3">
        <v>504102</v>
      </c>
      <c r="AW43" s="3">
        <v>2000000</v>
      </c>
      <c r="AX43" s="3">
        <v>3305590</v>
      </c>
      <c r="AY43" s="3">
        <v>60.5035788853056</v>
      </c>
      <c r="AZ43" s="3" t="s">
        <v>82</v>
      </c>
      <c r="BB43" s="3" t="s">
        <v>296</v>
      </c>
      <c r="BC43" s="3" t="s">
        <v>297</v>
      </c>
      <c r="BD43" s="8">
        <v>3</v>
      </c>
    </row>
    <row r="44" spans="1:56" ht="14.25" customHeight="1" thickBot="1">
      <c r="A44" s="3" t="s">
        <v>298</v>
      </c>
      <c r="B44" s="3" t="s">
        <v>86</v>
      </c>
      <c r="C44" s="3" t="s">
        <v>299</v>
      </c>
      <c r="E44" s="3" t="s">
        <v>71</v>
      </c>
      <c r="F44" s="3">
        <f t="shared" si="0"/>
        <v>3</v>
      </c>
      <c r="G44" s="3" t="s">
        <v>119</v>
      </c>
      <c r="H44" s="3">
        <f t="shared" si="1"/>
        <v>3</v>
      </c>
      <c r="I44" s="3" t="s">
        <v>122</v>
      </c>
      <c r="J44" s="3" t="s">
        <v>227</v>
      </c>
      <c r="M44" s="3" t="s">
        <v>76</v>
      </c>
      <c r="N44" s="3" t="s">
        <v>77</v>
      </c>
      <c r="O44" s="3" t="s">
        <v>78</v>
      </c>
      <c r="P44" s="3" t="s">
        <v>79</v>
      </c>
      <c r="Q44" s="3" t="s">
        <v>300</v>
      </c>
      <c r="S44" s="6">
        <v>4.8899999999999997</v>
      </c>
      <c r="T44" s="6">
        <v>1.76</v>
      </c>
      <c r="U44" s="6">
        <v>14.99</v>
      </c>
      <c r="AC44" s="3" t="s">
        <v>102</v>
      </c>
      <c r="AD44" s="9">
        <v>50.692439999999998</v>
      </c>
      <c r="AE44" s="11">
        <v>-112.8496519</v>
      </c>
      <c r="AH44" s="3">
        <v>2001</v>
      </c>
      <c r="AI44" s="3">
        <v>5</v>
      </c>
      <c r="AJ44" s="8">
        <v>28</v>
      </c>
      <c r="AK44" s="3">
        <v>2001</v>
      </c>
      <c r="AL44" s="3">
        <v>5</v>
      </c>
      <c r="AM44" s="3">
        <v>28</v>
      </c>
      <c r="AN44" s="29">
        <v>0</v>
      </c>
      <c r="AP44" s="3">
        <v>1200</v>
      </c>
      <c r="AR44" s="3">
        <v>1200</v>
      </c>
      <c r="AY44" s="3">
        <v>60.5035788853056</v>
      </c>
      <c r="AZ44" s="3" t="s">
        <v>89</v>
      </c>
      <c r="BA44" s="3" t="s">
        <v>301</v>
      </c>
      <c r="BC44" s="3" t="s">
        <v>302</v>
      </c>
      <c r="BD44" s="8">
        <v>4</v>
      </c>
    </row>
    <row r="45" spans="1:56" ht="14.25" customHeight="1" thickBot="1">
      <c r="A45" s="3" t="s">
        <v>303</v>
      </c>
      <c r="B45" s="3" t="s">
        <v>86</v>
      </c>
      <c r="C45" s="3" t="s">
        <v>304</v>
      </c>
      <c r="E45" s="3" t="s">
        <v>71</v>
      </c>
      <c r="F45" s="3">
        <f t="shared" si="0"/>
        <v>4</v>
      </c>
      <c r="G45" s="3" t="s">
        <v>305</v>
      </c>
      <c r="H45" s="3">
        <f t="shared" si="1"/>
        <v>5</v>
      </c>
      <c r="I45" s="3" t="s">
        <v>306</v>
      </c>
      <c r="J45" s="3" t="s">
        <v>307</v>
      </c>
      <c r="L45" s="3" t="s">
        <v>308</v>
      </c>
      <c r="M45" s="3" t="s">
        <v>76</v>
      </c>
      <c r="N45" s="3" t="s">
        <v>77</v>
      </c>
      <c r="O45" s="3" t="s">
        <v>78</v>
      </c>
      <c r="P45" s="3" t="s">
        <v>79</v>
      </c>
      <c r="Q45" s="3" t="s">
        <v>309</v>
      </c>
      <c r="S45" s="6">
        <v>0</v>
      </c>
      <c r="T45" s="6">
        <v>-15.01</v>
      </c>
      <c r="U45" s="6">
        <v>3.16</v>
      </c>
      <c r="AC45" s="3" t="s">
        <v>310</v>
      </c>
      <c r="AD45" s="9">
        <v>55.532130000000002</v>
      </c>
      <c r="AE45" s="11">
        <v>-106.1412243</v>
      </c>
      <c r="AH45" s="3">
        <v>2001</v>
      </c>
      <c r="AI45" s="3">
        <v>4</v>
      </c>
      <c r="AJ45" s="8">
        <v>1</v>
      </c>
      <c r="AK45" s="3">
        <v>2001</v>
      </c>
      <c r="AL45" s="3">
        <v>4</v>
      </c>
      <c r="AN45" s="29">
        <v>1</v>
      </c>
      <c r="AP45" s="3">
        <v>399</v>
      </c>
      <c r="AR45" s="3">
        <v>399</v>
      </c>
      <c r="AY45" s="3">
        <v>60.5035788853056</v>
      </c>
      <c r="BD45" s="8">
        <v>3</v>
      </c>
    </row>
    <row r="46" spans="1:56" ht="14.25" customHeight="1" thickBot="1">
      <c r="A46" s="3" t="s">
        <v>311</v>
      </c>
      <c r="B46" s="3" t="s">
        <v>312</v>
      </c>
      <c r="C46" s="3" t="s">
        <v>313</v>
      </c>
      <c r="E46" s="3" t="s">
        <v>71</v>
      </c>
      <c r="F46" s="3">
        <f t="shared" si="0"/>
        <v>1</v>
      </c>
      <c r="G46" s="3" t="s">
        <v>94</v>
      </c>
      <c r="H46" s="3">
        <f t="shared" si="1"/>
        <v>1</v>
      </c>
      <c r="I46" s="3" t="s">
        <v>95</v>
      </c>
      <c r="J46" s="3" t="s">
        <v>96</v>
      </c>
      <c r="M46" s="3" t="s">
        <v>76</v>
      </c>
      <c r="N46" s="3" t="s">
        <v>77</v>
      </c>
      <c r="O46" s="3" t="s">
        <v>78</v>
      </c>
      <c r="P46" s="3" t="s">
        <v>79</v>
      </c>
      <c r="Q46" s="3" t="s">
        <v>314</v>
      </c>
      <c r="R46" s="3" t="s">
        <v>100</v>
      </c>
      <c r="S46" s="6">
        <v>83.01</v>
      </c>
      <c r="T46" s="6">
        <v>8.69</v>
      </c>
      <c r="U46" s="6">
        <v>24.01</v>
      </c>
      <c r="AB46" s="3">
        <v>5530</v>
      </c>
      <c r="AC46" s="3" t="s">
        <v>102</v>
      </c>
      <c r="AD46" s="9">
        <v>48.611440000000002</v>
      </c>
      <c r="AE46" s="11">
        <v>-93.396761499999997</v>
      </c>
      <c r="AH46" s="3">
        <v>2002</v>
      </c>
      <c r="AI46" s="3">
        <v>6</v>
      </c>
      <c r="AJ46" s="8">
        <v>9</v>
      </c>
      <c r="AK46" s="3">
        <v>2002</v>
      </c>
      <c r="AL46" s="3">
        <v>6</v>
      </c>
      <c r="AM46" s="3">
        <v>12</v>
      </c>
      <c r="AN46" s="29">
        <v>0</v>
      </c>
      <c r="AY46" s="3">
        <v>61.463188261191398</v>
      </c>
      <c r="AZ46" s="3" t="s">
        <v>82</v>
      </c>
      <c r="BB46" s="3" t="s">
        <v>315</v>
      </c>
      <c r="BC46" s="3" t="s">
        <v>316</v>
      </c>
      <c r="BD46" s="8">
        <v>0</v>
      </c>
    </row>
    <row r="47" spans="1:56" ht="14.25" customHeight="1" thickBot="1">
      <c r="A47" s="3" t="s">
        <v>317</v>
      </c>
      <c r="B47" s="3" t="s">
        <v>312</v>
      </c>
      <c r="C47" s="3" t="s">
        <v>318</v>
      </c>
      <c r="E47" s="3" t="s">
        <v>71</v>
      </c>
      <c r="F47" s="3">
        <f t="shared" si="0"/>
        <v>3</v>
      </c>
      <c r="G47" s="3" t="s">
        <v>119</v>
      </c>
      <c r="H47" s="3">
        <f t="shared" si="1"/>
        <v>3</v>
      </c>
      <c r="I47" s="3" t="s">
        <v>122</v>
      </c>
      <c r="J47" s="3" t="s">
        <v>227</v>
      </c>
      <c r="M47" s="3" t="s">
        <v>76</v>
      </c>
      <c r="N47" s="3" t="s">
        <v>77</v>
      </c>
      <c r="O47" s="3" t="s">
        <v>78</v>
      </c>
      <c r="P47" s="3" t="s">
        <v>79</v>
      </c>
      <c r="Q47" s="3" t="s">
        <v>319</v>
      </c>
      <c r="S47" s="6">
        <v>0</v>
      </c>
      <c r="T47" s="6">
        <v>18.82</v>
      </c>
      <c r="U47" s="6">
        <v>32.33</v>
      </c>
      <c r="AB47" s="3">
        <v>2670</v>
      </c>
      <c r="AC47" s="3" t="s">
        <v>102</v>
      </c>
      <c r="AD47" s="9">
        <v>48.391979999999997</v>
      </c>
      <c r="AE47" s="11">
        <v>-71.759513999999996</v>
      </c>
      <c r="AH47" s="3">
        <v>2002</v>
      </c>
      <c r="AI47" s="3">
        <v>7</v>
      </c>
      <c r="AJ47" s="8">
        <v>1</v>
      </c>
      <c r="AK47" s="3">
        <v>2002</v>
      </c>
      <c r="AL47" s="3">
        <v>7</v>
      </c>
      <c r="AN47" s="29">
        <v>0</v>
      </c>
      <c r="AP47" s="3">
        <v>600</v>
      </c>
      <c r="AR47" s="3">
        <v>600</v>
      </c>
      <c r="AY47" s="3">
        <v>61.463188261191398</v>
      </c>
      <c r="AZ47" s="3" t="s">
        <v>82</v>
      </c>
      <c r="BB47" s="3" t="s">
        <v>320</v>
      </c>
      <c r="BC47" s="3" t="s">
        <v>321</v>
      </c>
      <c r="BD47" s="8">
        <v>3</v>
      </c>
    </row>
    <row r="48" spans="1:56" ht="14.25" customHeight="1" thickBot="1">
      <c r="A48" s="3" t="s">
        <v>322</v>
      </c>
      <c r="B48" s="3" t="s">
        <v>312</v>
      </c>
      <c r="C48" s="3" t="s">
        <v>323</v>
      </c>
      <c r="E48" s="3" t="s">
        <v>71</v>
      </c>
      <c r="F48" s="3">
        <f t="shared" si="0"/>
        <v>4</v>
      </c>
      <c r="G48" s="3" t="s">
        <v>305</v>
      </c>
      <c r="H48" s="3">
        <f t="shared" si="1"/>
        <v>5</v>
      </c>
      <c r="I48" s="3" t="s">
        <v>306</v>
      </c>
      <c r="J48" s="3" t="s">
        <v>324</v>
      </c>
      <c r="L48" s="3" t="s">
        <v>325</v>
      </c>
      <c r="M48" s="3" t="s">
        <v>76</v>
      </c>
      <c r="N48" s="3" t="s">
        <v>77</v>
      </c>
      <c r="O48" s="3" t="s">
        <v>78</v>
      </c>
      <c r="P48" s="3" t="s">
        <v>79</v>
      </c>
      <c r="Q48" s="3" t="s">
        <v>326</v>
      </c>
      <c r="S48" s="6">
        <v>7.81</v>
      </c>
      <c r="T48" s="6">
        <v>9.7899999999999991</v>
      </c>
      <c r="U48" s="6">
        <v>15.95</v>
      </c>
      <c r="Y48" s="3" t="s">
        <v>327</v>
      </c>
      <c r="Z48" s="3" t="s">
        <v>327</v>
      </c>
      <c r="AC48" s="3" t="s">
        <v>310</v>
      </c>
      <c r="AD48" s="9">
        <v>50.692439999999998</v>
      </c>
      <c r="AE48" s="11">
        <v>-112.8496519</v>
      </c>
      <c r="AH48" s="3">
        <v>2002</v>
      </c>
      <c r="AI48" s="3">
        <v>9</v>
      </c>
      <c r="AJ48" s="8">
        <v>1</v>
      </c>
      <c r="AK48" s="3">
        <v>2002</v>
      </c>
      <c r="AL48" s="3">
        <v>10</v>
      </c>
      <c r="AM48" s="3">
        <v>12</v>
      </c>
      <c r="AN48" s="29">
        <v>2</v>
      </c>
      <c r="AP48" s="3">
        <v>139</v>
      </c>
      <c r="AR48" s="3">
        <v>139</v>
      </c>
      <c r="AY48" s="3">
        <v>61.463188261191398</v>
      </c>
      <c r="BD48" s="8">
        <v>3</v>
      </c>
    </row>
    <row r="49" spans="1:56" ht="14.25" customHeight="1" thickBot="1">
      <c r="A49" s="3" t="s">
        <v>328</v>
      </c>
      <c r="B49" s="3" t="s">
        <v>312</v>
      </c>
      <c r="C49" s="3" t="s">
        <v>329</v>
      </c>
      <c r="E49" s="3" t="s">
        <v>71</v>
      </c>
      <c r="F49" s="3">
        <f t="shared" si="0"/>
        <v>4</v>
      </c>
      <c r="G49" s="3" t="s">
        <v>305</v>
      </c>
      <c r="H49" s="3">
        <f t="shared" si="1"/>
        <v>5</v>
      </c>
      <c r="I49" s="3" t="s">
        <v>306</v>
      </c>
      <c r="J49" s="3" t="s">
        <v>324</v>
      </c>
      <c r="L49" s="3" t="s">
        <v>330</v>
      </c>
      <c r="M49" s="3" t="s">
        <v>76</v>
      </c>
      <c r="N49" s="3" t="s">
        <v>77</v>
      </c>
      <c r="O49" s="3" t="s">
        <v>78</v>
      </c>
      <c r="P49" s="3" t="s">
        <v>79</v>
      </c>
      <c r="Q49" s="3" t="s">
        <v>331</v>
      </c>
      <c r="S49" s="6">
        <v>7.26</v>
      </c>
      <c r="T49" s="6">
        <v>-3.5</v>
      </c>
      <c r="U49" s="6">
        <v>4.04</v>
      </c>
      <c r="Y49" s="3" t="s">
        <v>327</v>
      </c>
      <c r="Z49" s="3" t="s">
        <v>327</v>
      </c>
      <c r="AC49" s="3" t="s">
        <v>310</v>
      </c>
      <c r="AD49" s="13">
        <v>43.966144</v>
      </c>
      <c r="AE49" s="11">
        <v>-79.390970999999993</v>
      </c>
      <c r="AH49" s="3">
        <v>2003</v>
      </c>
      <c r="AI49" s="3">
        <v>2</v>
      </c>
      <c r="AJ49" s="8">
        <v>23</v>
      </c>
      <c r="AK49" s="3">
        <v>2003</v>
      </c>
      <c r="AL49" s="3">
        <v>6</v>
      </c>
      <c r="AM49" s="3">
        <v>12</v>
      </c>
      <c r="AN49" s="29">
        <v>43</v>
      </c>
      <c r="AP49" s="3">
        <v>208</v>
      </c>
      <c r="AR49" s="3">
        <v>208</v>
      </c>
      <c r="AY49" s="3">
        <v>61.463188261191398</v>
      </c>
      <c r="BD49" s="8">
        <v>3</v>
      </c>
    </row>
    <row r="50" spans="1:56" ht="14.25" customHeight="1" thickBot="1">
      <c r="A50" s="3" t="s">
        <v>332</v>
      </c>
      <c r="B50" s="3" t="s">
        <v>333</v>
      </c>
      <c r="C50" s="3" t="s">
        <v>334</v>
      </c>
      <c r="E50" s="3" t="s">
        <v>71</v>
      </c>
      <c r="F50" s="3">
        <f t="shared" si="0"/>
        <v>1</v>
      </c>
      <c r="G50" s="3" t="s">
        <v>94</v>
      </c>
      <c r="H50" s="3">
        <f t="shared" si="1"/>
        <v>1</v>
      </c>
      <c r="I50" s="3" t="s">
        <v>95</v>
      </c>
      <c r="J50" s="3" t="s">
        <v>96</v>
      </c>
      <c r="M50" s="3" t="s">
        <v>76</v>
      </c>
      <c r="N50" s="3" t="s">
        <v>77</v>
      </c>
      <c r="O50" s="3" t="s">
        <v>78</v>
      </c>
      <c r="P50" s="3" t="s">
        <v>79</v>
      </c>
      <c r="Q50" s="3" t="s">
        <v>335</v>
      </c>
      <c r="R50" s="3" t="s">
        <v>336</v>
      </c>
      <c r="S50" s="6">
        <v>0</v>
      </c>
      <c r="T50" s="6">
        <v>-7.63</v>
      </c>
      <c r="U50" s="6">
        <v>1.02</v>
      </c>
      <c r="Z50" s="3" t="s">
        <v>264</v>
      </c>
      <c r="AB50" s="3">
        <v>1000</v>
      </c>
      <c r="AC50" s="3" t="s">
        <v>102</v>
      </c>
      <c r="AD50" s="15">
        <v>48.978409999999997</v>
      </c>
      <c r="AE50" s="11">
        <v>-56.038393999999997</v>
      </c>
      <c r="AG50" s="3" t="s">
        <v>337</v>
      </c>
      <c r="AH50" s="3">
        <v>2003</v>
      </c>
      <c r="AI50" s="3">
        <v>2</v>
      </c>
      <c r="AJ50" s="8">
        <v>15</v>
      </c>
      <c r="AK50" s="3">
        <v>2003</v>
      </c>
      <c r="AL50" s="3">
        <v>2</v>
      </c>
      <c r="AM50" s="3">
        <v>21</v>
      </c>
      <c r="AN50" s="29">
        <v>0</v>
      </c>
      <c r="AP50" s="3">
        <v>1100</v>
      </c>
      <c r="AR50" s="3">
        <v>1100</v>
      </c>
      <c r="AY50" s="3">
        <v>62.858459500041299</v>
      </c>
      <c r="AZ50" s="3" t="s">
        <v>82</v>
      </c>
      <c r="BB50" s="3" t="s">
        <v>338</v>
      </c>
      <c r="BC50" s="3" t="s">
        <v>339</v>
      </c>
      <c r="BD50" s="8">
        <v>4</v>
      </c>
    </row>
    <row r="51" spans="1:56" ht="14.25" customHeight="1" thickBot="1">
      <c r="A51" s="3" t="s">
        <v>340</v>
      </c>
      <c r="B51" s="3" t="s">
        <v>86</v>
      </c>
      <c r="C51" s="3" t="s">
        <v>341</v>
      </c>
      <c r="E51" s="3" t="s">
        <v>71</v>
      </c>
      <c r="F51" s="3">
        <f t="shared" si="0"/>
        <v>2</v>
      </c>
      <c r="G51" s="3" t="s">
        <v>72</v>
      </c>
      <c r="H51" s="3">
        <f t="shared" si="1"/>
        <v>2</v>
      </c>
      <c r="I51" s="3" t="s">
        <v>73</v>
      </c>
      <c r="M51" s="3" t="s">
        <v>97</v>
      </c>
      <c r="N51" s="3" t="s">
        <v>98</v>
      </c>
      <c r="O51" s="3" t="s">
        <v>78</v>
      </c>
      <c r="P51" s="3" t="s">
        <v>79</v>
      </c>
      <c r="Q51" s="3" t="s">
        <v>342</v>
      </c>
      <c r="S51" s="6">
        <v>0</v>
      </c>
      <c r="T51" s="6">
        <v>-17.57</v>
      </c>
      <c r="U51" s="6">
        <v>-4.5999999999999996</v>
      </c>
      <c r="V51" s="3" t="s">
        <v>343</v>
      </c>
      <c r="W51" s="3" t="s">
        <v>95</v>
      </c>
      <c r="AC51" s="3" t="s">
        <v>81</v>
      </c>
      <c r="AD51" s="7">
        <v>43.484900000000003</v>
      </c>
      <c r="AE51" s="8">
        <v>-71.655399200000005</v>
      </c>
      <c r="AH51" s="3">
        <v>2001</v>
      </c>
      <c r="AI51" s="3">
        <v>3</v>
      </c>
      <c r="AJ51" s="8">
        <v>20</v>
      </c>
      <c r="AK51" s="3">
        <v>2001</v>
      </c>
      <c r="AL51" s="3">
        <v>3</v>
      </c>
      <c r="AM51" s="3">
        <v>20</v>
      </c>
      <c r="AN51" s="29">
        <v>2</v>
      </c>
      <c r="AP51" s="3">
        <v>100</v>
      </c>
      <c r="AR51" s="3">
        <v>100</v>
      </c>
      <c r="AY51" s="3">
        <v>60.5035788853056</v>
      </c>
      <c r="AZ51" s="3" t="s">
        <v>89</v>
      </c>
      <c r="BA51" s="3" t="s">
        <v>344</v>
      </c>
      <c r="BC51" s="3" t="s">
        <v>345</v>
      </c>
      <c r="BD51" s="8">
        <v>3</v>
      </c>
    </row>
    <row r="52" spans="1:56" ht="14.25" customHeight="1" thickBot="1">
      <c r="A52" s="3" t="s">
        <v>346</v>
      </c>
      <c r="B52" s="3" t="s">
        <v>86</v>
      </c>
      <c r="C52" s="3" t="s">
        <v>347</v>
      </c>
      <c r="E52" s="3" t="s">
        <v>71</v>
      </c>
      <c r="F52" s="3">
        <f t="shared" si="0"/>
        <v>1</v>
      </c>
      <c r="G52" s="3" t="s">
        <v>94</v>
      </c>
      <c r="H52" s="3">
        <f t="shared" si="1"/>
        <v>1</v>
      </c>
      <c r="I52" s="3" t="s">
        <v>95</v>
      </c>
      <c r="J52" s="3" t="s">
        <v>96</v>
      </c>
      <c r="M52" s="3" t="s">
        <v>97</v>
      </c>
      <c r="N52" s="3" t="s">
        <v>98</v>
      </c>
      <c r="O52" s="3" t="s">
        <v>78</v>
      </c>
      <c r="P52" s="3" t="s">
        <v>79</v>
      </c>
      <c r="Q52" s="3" t="s">
        <v>348</v>
      </c>
      <c r="R52" s="3" t="s">
        <v>100</v>
      </c>
      <c r="S52" s="6">
        <v>6.17</v>
      </c>
      <c r="T52" s="6">
        <v>20.52</v>
      </c>
      <c r="U52" s="6">
        <v>30.75</v>
      </c>
      <c r="V52" s="3" t="s">
        <v>101</v>
      </c>
      <c r="AB52" s="3">
        <v>8530</v>
      </c>
      <c r="AC52" s="3" t="s">
        <v>102</v>
      </c>
      <c r="AD52" s="9">
        <v>37.123220000000003</v>
      </c>
      <c r="AE52" s="11">
        <v>-78.492772099999996</v>
      </c>
      <c r="AG52" s="3" t="s">
        <v>349</v>
      </c>
      <c r="AH52" s="3">
        <v>2001</v>
      </c>
      <c r="AI52" s="3">
        <v>7</v>
      </c>
      <c r="AJ52" s="8">
        <v>8</v>
      </c>
      <c r="AK52" s="3">
        <v>2001</v>
      </c>
      <c r="AL52" s="3">
        <v>7</v>
      </c>
      <c r="AM52" s="3">
        <v>9</v>
      </c>
      <c r="AN52" s="29">
        <v>2</v>
      </c>
      <c r="AP52" s="3">
        <v>10500</v>
      </c>
      <c r="AQ52" s="3">
        <v>4500</v>
      </c>
      <c r="AR52" s="3">
        <v>15000</v>
      </c>
      <c r="AW52" s="3">
        <v>20000</v>
      </c>
      <c r="AX52" s="3">
        <v>33056</v>
      </c>
      <c r="AY52" s="3">
        <v>60.5035788853056</v>
      </c>
      <c r="AZ52" s="3" t="s">
        <v>89</v>
      </c>
      <c r="BA52" s="3" t="s">
        <v>350</v>
      </c>
      <c r="BC52" s="3" t="s">
        <v>351</v>
      </c>
      <c r="BD52" s="8">
        <v>5</v>
      </c>
    </row>
    <row r="53" spans="1:56" ht="14.25" customHeight="1" thickBot="1">
      <c r="A53" s="3" t="s">
        <v>352</v>
      </c>
      <c r="B53" s="3" t="s">
        <v>86</v>
      </c>
      <c r="C53" s="3" t="s">
        <v>353</v>
      </c>
      <c r="E53" s="3" t="s">
        <v>71</v>
      </c>
      <c r="F53" s="3">
        <f t="shared" si="0"/>
        <v>2</v>
      </c>
      <c r="G53" s="3" t="s">
        <v>72</v>
      </c>
      <c r="H53" s="3">
        <f t="shared" si="1"/>
        <v>2</v>
      </c>
      <c r="I53" s="3" t="s">
        <v>73</v>
      </c>
      <c r="J53" s="3" t="s">
        <v>74</v>
      </c>
      <c r="K53" s="3" t="s">
        <v>75</v>
      </c>
      <c r="M53" s="3" t="s">
        <v>97</v>
      </c>
      <c r="N53" s="3" t="s">
        <v>98</v>
      </c>
      <c r="O53" s="3" t="s">
        <v>78</v>
      </c>
      <c r="P53" s="3" t="s">
        <v>79</v>
      </c>
      <c r="Q53" s="3" t="s">
        <v>354</v>
      </c>
      <c r="S53" s="6">
        <v>9.7799999999999994</v>
      </c>
      <c r="T53" s="6">
        <v>-1.27</v>
      </c>
      <c r="U53" s="6">
        <v>13.43</v>
      </c>
      <c r="V53" s="3" t="s">
        <v>355</v>
      </c>
      <c r="AC53" s="3" t="s">
        <v>81</v>
      </c>
      <c r="AD53" s="13">
        <v>38.532964999999997</v>
      </c>
      <c r="AE53" s="11">
        <v>-92.164240000000007</v>
      </c>
      <c r="AH53" s="3">
        <v>2001</v>
      </c>
      <c r="AI53" s="3">
        <v>4</v>
      </c>
      <c r="AJ53" s="8">
        <v>10</v>
      </c>
      <c r="AK53" s="3">
        <v>2001</v>
      </c>
      <c r="AL53" s="3">
        <v>4</v>
      </c>
      <c r="AM53" s="3">
        <v>11</v>
      </c>
      <c r="AN53" s="29">
        <v>4</v>
      </c>
      <c r="AO53" s="3">
        <v>18</v>
      </c>
      <c r="AP53" s="3">
        <v>765</v>
      </c>
      <c r="AQ53" s="3">
        <v>30</v>
      </c>
      <c r="AR53" s="3">
        <v>813</v>
      </c>
      <c r="AW53" s="3">
        <v>23000</v>
      </c>
      <c r="AX53" s="3">
        <v>38014</v>
      </c>
      <c r="AY53" s="3">
        <v>60.5035788853056</v>
      </c>
      <c r="AZ53" s="3" t="s">
        <v>82</v>
      </c>
      <c r="BB53" s="3" t="s">
        <v>356</v>
      </c>
      <c r="BC53" s="3" t="s">
        <v>357</v>
      </c>
      <c r="BD53" s="8">
        <v>3</v>
      </c>
    </row>
    <row r="54" spans="1:56" ht="14.25" customHeight="1" thickBot="1">
      <c r="A54" s="3" t="s">
        <v>358</v>
      </c>
      <c r="B54" s="3" t="s">
        <v>86</v>
      </c>
      <c r="C54" s="3" t="s">
        <v>359</v>
      </c>
      <c r="E54" s="3" t="s">
        <v>71</v>
      </c>
      <c r="F54" s="3">
        <f t="shared" si="0"/>
        <v>2</v>
      </c>
      <c r="G54" s="3" t="s">
        <v>72</v>
      </c>
      <c r="H54" s="3">
        <f t="shared" si="1"/>
        <v>2</v>
      </c>
      <c r="I54" s="3" t="s">
        <v>73</v>
      </c>
      <c r="M54" s="3" t="s">
        <v>97</v>
      </c>
      <c r="N54" s="3" t="s">
        <v>98</v>
      </c>
      <c r="O54" s="3" t="s">
        <v>78</v>
      </c>
      <c r="P54" s="3" t="s">
        <v>79</v>
      </c>
      <c r="Q54" s="3" t="s">
        <v>360</v>
      </c>
      <c r="S54" s="6">
        <v>0</v>
      </c>
      <c r="T54" s="6">
        <v>4.58</v>
      </c>
      <c r="U54" s="6">
        <v>23.57</v>
      </c>
      <c r="V54" s="3" t="s">
        <v>355</v>
      </c>
      <c r="AC54" s="3" t="s">
        <v>81</v>
      </c>
      <c r="AD54" s="15">
        <v>40.586329999999997</v>
      </c>
      <c r="AE54" s="11">
        <v>-105.413201</v>
      </c>
      <c r="AH54" s="3">
        <v>2001</v>
      </c>
      <c r="AI54" s="3">
        <v>6</v>
      </c>
      <c r="AJ54" s="8">
        <v>21</v>
      </c>
      <c r="AK54" s="3">
        <v>2001</v>
      </c>
      <c r="AL54" s="3">
        <v>6</v>
      </c>
      <c r="AM54" s="3">
        <v>21</v>
      </c>
      <c r="AN54" s="29">
        <v>0</v>
      </c>
      <c r="AO54" s="3">
        <v>2</v>
      </c>
      <c r="AP54" s="3">
        <v>120</v>
      </c>
      <c r="AR54" s="3">
        <v>122</v>
      </c>
      <c r="AY54" s="3">
        <v>60.5035788853056</v>
      </c>
      <c r="AZ54" s="3" t="s">
        <v>82</v>
      </c>
      <c r="BB54" s="3" t="s">
        <v>361</v>
      </c>
      <c r="BC54" s="3" t="s">
        <v>362</v>
      </c>
      <c r="BD54" s="8">
        <v>3</v>
      </c>
    </row>
    <row r="55" spans="1:56" ht="14.25" customHeight="1" thickBot="1">
      <c r="A55" s="3" t="s">
        <v>363</v>
      </c>
      <c r="B55" s="3" t="s">
        <v>86</v>
      </c>
      <c r="C55" s="3" t="s">
        <v>364</v>
      </c>
      <c r="E55" s="3" t="s">
        <v>71</v>
      </c>
      <c r="F55" s="3">
        <f t="shared" si="0"/>
        <v>2</v>
      </c>
      <c r="G55" s="3" t="s">
        <v>72</v>
      </c>
      <c r="H55" s="3">
        <f t="shared" si="1"/>
        <v>2</v>
      </c>
      <c r="I55" s="3" t="s">
        <v>73</v>
      </c>
      <c r="J55" s="3" t="s">
        <v>212</v>
      </c>
      <c r="L55" s="3" t="s">
        <v>365</v>
      </c>
      <c r="M55" s="3" t="s">
        <v>97</v>
      </c>
      <c r="N55" s="3" t="s">
        <v>98</v>
      </c>
      <c r="O55" s="3" t="s">
        <v>78</v>
      </c>
      <c r="P55" s="3" t="s">
        <v>79</v>
      </c>
      <c r="Q55" s="3" t="s">
        <v>366</v>
      </c>
      <c r="S55" s="6">
        <v>0</v>
      </c>
      <c r="T55" s="6">
        <v>17.89</v>
      </c>
      <c r="U55" s="6">
        <v>32.17</v>
      </c>
      <c r="V55" s="3" t="s">
        <v>95</v>
      </c>
      <c r="Z55" s="3" t="s">
        <v>264</v>
      </c>
      <c r="AC55" s="3" t="s">
        <v>81</v>
      </c>
      <c r="AD55" s="9">
        <v>31.26389</v>
      </c>
      <c r="AE55" s="11">
        <v>-98.545611600000001</v>
      </c>
      <c r="AH55" s="3">
        <v>2001</v>
      </c>
      <c r="AI55" s="3">
        <v>6</v>
      </c>
      <c r="AJ55" s="8">
        <v>5</v>
      </c>
      <c r="AK55" s="3">
        <v>2001</v>
      </c>
      <c r="AL55" s="3">
        <v>6</v>
      </c>
      <c r="AM55" s="3">
        <v>17</v>
      </c>
      <c r="AN55" s="29">
        <v>41</v>
      </c>
      <c r="AP55" s="3">
        <v>102000</v>
      </c>
      <c r="AQ55" s="3">
        <v>70000</v>
      </c>
      <c r="AR55" s="3">
        <v>172000</v>
      </c>
      <c r="AU55" s="3">
        <v>3500000</v>
      </c>
      <c r="AV55" s="3">
        <v>5784782</v>
      </c>
      <c r="AW55" s="3">
        <v>6000000</v>
      </c>
      <c r="AX55" s="3">
        <v>9916769</v>
      </c>
      <c r="AY55" s="3">
        <v>60.5035788853056</v>
      </c>
      <c r="AZ55" s="3" t="s">
        <v>89</v>
      </c>
      <c r="BA55" s="3" t="s">
        <v>367</v>
      </c>
      <c r="BC55" s="3" t="s">
        <v>368</v>
      </c>
      <c r="BD55" s="8">
        <v>6</v>
      </c>
    </row>
    <row r="56" spans="1:56" ht="14.25" customHeight="1" thickBot="1">
      <c r="A56" s="3" t="s">
        <v>369</v>
      </c>
      <c r="B56" s="3" t="s">
        <v>86</v>
      </c>
      <c r="C56" s="3" t="s">
        <v>370</v>
      </c>
      <c r="E56" s="3" t="s">
        <v>71</v>
      </c>
      <c r="F56" s="3">
        <f t="shared" si="0"/>
        <v>1</v>
      </c>
      <c r="G56" s="3" t="s">
        <v>94</v>
      </c>
      <c r="H56" s="3">
        <f t="shared" si="1"/>
        <v>1</v>
      </c>
      <c r="I56" s="3" t="s">
        <v>95</v>
      </c>
      <c r="J56" s="3" t="s">
        <v>96</v>
      </c>
      <c r="M56" s="3" t="s">
        <v>371</v>
      </c>
      <c r="N56" s="3" t="s">
        <v>372</v>
      </c>
      <c r="O56" s="3" t="s">
        <v>373</v>
      </c>
      <c r="P56" s="3" t="s">
        <v>79</v>
      </c>
      <c r="Q56" s="3" t="s">
        <v>374</v>
      </c>
      <c r="R56" s="3" t="s">
        <v>100</v>
      </c>
      <c r="S56" s="6">
        <v>6.72</v>
      </c>
      <c r="T56" s="6">
        <v>18.989999999999998</v>
      </c>
      <c r="U56" s="6">
        <v>31.57</v>
      </c>
      <c r="AB56" s="3">
        <v>245</v>
      </c>
      <c r="AC56" s="3" t="s">
        <v>102</v>
      </c>
      <c r="AD56" s="13">
        <v>18.034261999999998</v>
      </c>
      <c r="AE56" s="8">
        <v>-66.862730999999997</v>
      </c>
      <c r="AG56" s="3" t="s">
        <v>375</v>
      </c>
      <c r="AH56" s="3">
        <v>2001</v>
      </c>
      <c r="AI56" s="3">
        <v>5</v>
      </c>
      <c r="AJ56" s="8">
        <v>6</v>
      </c>
      <c r="AK56" s="3">
        <v>2001</v>
      </c>
      <c r="AL56" s="3">
        <v>5</v>
      </c>
      <c r="AM56" s="3">
        <v>7</v>
      </c>
      <c r="AN56" s="29">
        <v>2</v>
      </c>
      <c r="AP56" s="3">
        <v>9300</v>
      </c>
      <c r="AQ56" s="3">
        <v>180</v>
      </c>
      <c r="AR56" s="3">
        <v>9480</v>
      </c>
      <c r="AW56" s="3">
        <v>146000</v>
      </c>
      <c r="AX56" s="3">
        <v>241308</v>
      </c>
      <c r="AY56" s="3">
        <v>60.5035788853056</v>
      </c>
      <c r="AZ56" s="3" t="s">
        <v>82</v>
      </c>
      <c r="BB56" s="3" t="s">
        <v>376</v>
      </c>
      <c r="BC56" s="3" t="s">
        <v>377</v>
      </c>
      <c r="BD56" s="8">
        <v>4</v>
      </c>
    </row>
    <row r="57" spans="1:56" ht="14.25" customHeight="1" thickBot="1">
      <c r="A57" s="3" t="s">
        <v>378</v>
      </c>
      <c r="B57" s="3" t="s">
        <v>86</v>
      </c>
      <c r="C57" s="3" t="s">
        <v>379</v>
      </c>
      <c r="E57" s="3" t="s">
        <v>71</v>
      </c>
      <c r="F57" s="3">
        <f t="shared" si="0"/>
        <v>2</v>
      </c>
      <c r="G57" s="3" t="s">
        <v>72</v>
      </c>
      <c r="H57" s="3">
        <f t="shared" si="1"/>
        <v>2</v>
      </c>
      <c r="I57" s="3" t="s">
        <v>73</v>
      </c>
      <c r="J57" s="3" t="s">
        <v>74</v>
      </c>
      <c r="K57" s="3" t="s">
        <v>75</v>
      </c>
      <c r="M57" s="3" t="s">
        <v>97</v>
      </c>
      <c r="N57" s="3" t="s">
        <v>98</v>
      </c>
      <c r="O57" s="3" t="s">
        <v>78</v>
      </c>
      <c r="P57" s="3" t="s">
        <v>79</v>
      </c>
      <c r="Q57" s="3" t="s">
        <v>380</v>
      </c>
      <c r="S57" s="6">
        <v>5.53</v>
      </c>
      <c r="T57" s="6">
        <v>6.32</v>
      </c>
      <c r="U57" s="6">
        <v>8.6999999999999993</v>
      </c>
      <c r="AC57" s="3" t="s">
        <v>81</v>
      </c>
      <c r="AD57" s="9">
        <v>32.793170000000003</v>
      </c>
      <c r="AE57" s="11">
        <v>-94.344487999999998</v>
      </c>
      <c r="AH57" s="3">
        <v>2001</v>
      </c>
      <c r="AI57" s="3">
        <v>3</v>
      </c>
      <c r="AJ57" s="8">
        <v>29</v>
      </c>
      <c r="AK57" s="3">
        <v>2001</v>
      </c>
      <c r="AL57" s="3">
        <v>3</v>
      </c>
      <c r="AM57" s="3">
        <v>29</v>
      </c>
      <c r="AN57" s="29">
        <v>0</v>
      </c>
      <c r="AP57" s="3">
        <v>492</v>
      </c>
      <c r="AR57" s="3">
        <v>492</v>
      </c>
      <c r="AW57" s="3">
        <v>1800</v>
      </c>
      <c r="AX57" s="3">
        <v>2975</v>
      </c>
      <c r="AY57" s="3">
        <v>60.5035788853056</v>
      </c>
      <c r="AZ57" s="3" t="s">
        <v>82</v>
      </c>
      <c r="BB57" s="3" t="s">
        <v>381</v>
      </c>
      <c r="BC57" s="3" t="s">
        <v>382</v>
      </c>
      <c r="BD57" s="8">
        <v>3</v>
      </c>
    </row>
    <row r="58" spans="1:56" ht="14.25" customHeight="1" thickBot="1">
      <c r="A58" s="3" t="s">
        <v>383</v>
      </c>
      <c r="B58" s="3" t="s">
        <v>86</v>
      </c>
      <c r="C58" s="3" t="s">
        <v>384</v>
      </c>
      <c r="E58" s="3" t="s">
        <v>71</v>
      </c>
      <c r="F58" s="3">
        <f t="shared" si="0"/>
        <v>2</v>
      </c>
      <c r="G58" s="3" t="s">
        <v>72</v>
      </c>
      <c r="H58" s="3">
        <f t="shared" si="1"/>
        <v>2</v>
      </c>
      <c r="I58" s="3" t="s">
        <v>73</v>
      </c>
      <c r="J58" s="3" t="s">
        <v>74</v>
      </c>
      <c r="K58" s="3" t="s">
        <v>75</v>
      </c>
      <c r="M58" s="3" t="s">
        <v>97</v>
      </c>
      <c r="N58" s="3" t="s">
        <v>98</v>
      </c>
      <c r="O58" s="3" t="s">
        <v>78</v>
      </c>
      <c r="P58" s="3" t="s">
        <v>79</v>
      </c>
      <c r="Q58" s="3" t="s">
        <v>385</v>
      </c>
      <c r="S58" s="6">
        <v>0</v>
      </c>
      <c r="T58" s="6">
        <v>1.36</v>
      </c>
      <c r="U58" s="6">
        <v>21.43</v>
      </c>
      <c r="AC58" s="3" t="s">
        <v>81</v>
      </c>
      <c r="AD58" s="13">
        <v>38.440412999999999</v>
      </c>
      <c r="AE58" s="8">
        <v>-98.726488000000003</v>
      </c>
      <c r="AH58" s="3">
        <v>2001</v>
      </c>
      <c r="AI58" s="3">
        <v>4</v>
      </c>
      <c r="AJ58" s="8">
        <v>21</v>
      </c>
      <c r="AK58" s="3">
        <v>2001</v>
      </c>
      <c r="AL58" s="3">
        <v>4</v>
      </c>
      <c r="AM58" s="3">
        <v>21</v>
      </c>
      <c r="AN58" s="29">
        <v>1</v>
      </c>
      <c r="AO58" s="3">
        <v>32</v>
      </c>
      <c r="AP58" s="3">
        <v>1707</v>
      </c>
      <c r="AR58" s="3">
        <v>1739</v>
      </c>
      <c r="AY58" s="3">
        <v>60.5035788853056</v>
      </c>
      <c r="AZ58" s="3" t="s">
        <v>82</v>
      </c>
      <c r="BB58" s="3" t="s">
        <v>386</v>
      </c>
      <c r="BC58" s="3" t="s">
        <v>387</v>
      </c>
      <c r="BD58" s="8">
        <v>4</v>
      </c>
    </row>
    <row r="59" spans="1:56" ht="14.25" customHeight="1" thickBot="1">
      <c r="A59" s="3" t="s">
        <v>388</v>
      </c>
      <c r="B59" s="3" t="s">
        <v>86</v>
      </c>
      <c r="C59" s="3" t="s">
        <v>389</v>
      </c>
      <c r="E59" s="3" t="s">
        <v>71</v>
      </c>
      <c r="F59" s="3">
        <f t="shared" si="0"/>
        <v>2</v>
      </c>
      <c r="G59" s="3" t="s">
        <v>72</v>
      </c>
      <c r="H59" s="3">
        <f t="shared" si="1"/>
        <v>2</v>
      </c>
      <c r="I59" s="3" t="s">
        <v>73</v>
      </c>
      <c r="J59" s="3" t="s">
        <v>74</v>
      </c>
      <c r="K59" s="3" t="s">
        <v>75</v>
      </c>
      <c r="M59" s="3" t="s">
        <v>97</v>
      </c>
      <c r="N59" s="3" t="s">
        <v>98</v>
      </c>
      <c r="O59" s="3" t="s">
        <v>78</v>
      </c>
      <c r="P59" s="3" t="s">
        <v>79</v>
      </c>
      <c r="Q59" s="3" t="s">
        <v>390</v>
      </c>
      <c r="S59" s="6">
        <v>22.27</v>
      </c>
      <c r="T59" s="6">
        <v>7.85</v>
      </c>
      <c r="U59" s="6">
        <v>19.79</v>
      </c>
      <c r="AC59" s="3" t="s">
        <v>81</v>
      </c>
      <c r="AD59" s="15">
        <v>41.507570000000001</v>
      </c>
      <c r="AE59" s="8">
        <v>-90.766763999999995</v>
      </c>
      <c r="AH59" s="3">
        <v>2001</v>
      </c>
      <c r="AI59" s="3">
        <v>6</v>
      </c>
      <c r="AJ59" s="8">
        <v>14</v>
      </c>
      <c r="AK59" s="3">
        <v>2001</v>
      </c>
      <c r="AL59" s="3">
        <v>6</v>
      </c>
      <c r="AM59" s="3">
        <v>14</v>
      </c>
      <c r="AN59" s="29">
        <v>0</v>
      </c>
      <c r="AP59" s="3">
        <v>75</v>
      </c>
      <c r="AQ59" s="3">
        <v>18</v>
      </c>
      <c r="AR59" s="3">
        <v>93</v>
      </c>
      <c r="AY59" s="3">
        <v>60.5035788853056</v>
      </c>
      <c r="AZ59" s="3" t="s">
        <v>82</v>
      </c>
      <c r="BB59" s="3" t="s">
        <v>391</v>
      </c>
      <c r="BC59" s="3" t="s">
        <v>392</v>
      </c>
      <c r="BD59" s="8">
        <v>2</v>
      </c>
    </row>
    <row r="60" spans="1:56" ht="14.25" customHeight="1" thickBot="1">
      <c r="A60" s="3" t="s">
        <v>393</v>
      </c>
      <c r="B60" s="3" t="s">
        <v>86</v>
      </c>
      <c r="C60" s="3" t="s">
        <v>394</v>
      </c>
      <c r="E60" s="3" t="s">
        <v>71</v>
      </c>
      <c r="F60" s="3">
        <f t="shared" si="0"/>
        <v>2</v>
      </c>
      <c r="G60" s="3" t="s">
        <v>72</v>
      </c>
      <c r="H60" s="3">
        <f t="shared" si="1"/>
        <v>2</v>
      </c>
      <c r="I60" s="3" t="s">
        <v>73</v>
      </c>
      <c r="J60" s="3" t="s">
        <v>74</v>
      </c>
      <c r="K60" s="3" t="s">
        <v>75</v>
      </c>
      <c r="M60" s="3" t="s">
        <v>97</v>
      </c>
      <c r="N60" s="3" t="s">
        <v>98</v>
      </c>
      <c r="O60" s="3" t="s">
        <v>78</v>
      </c>
      <c r="P60" s="3" t="s">
        <v>79</v>
      </c>
      <c r="Q60" s="3" t="s">
        <v>395</v>
      </c>
      <c r="S60" s="6">
        <v>10.9</v>
      </c>
      <c r="T60" s="6">
        <v>8.14</v>
      </c>
      <c r="U60" s="6">
        <v>16.989999999999998</v>
      </c>
      <c r="AC60" s="3" t="s">
        <v>81</v>
      </c>
      <c r="AD60" s="7">
        <v>45.785800000000002</v>
      </c>
      <c r="AE60" s="8">
        <v>-92.381028400000005</v>
      </c>
      <c r="AH60" s="3">
        <v>2001</v>
      </c>
      <c r="AI60" s="3">
        <v>6</v>
      </c>
      <c r="AJ60" s="8">
        <v>18</v>
      </c>
      <c r="AK60" s="3">
        <v>2001</v>
      </c>
      <c r="AL60" s="3">
        <v>6</v>
      </c>
      <c r="AM60" s="3">
        <v>18</v>
      </c>
      <c r="AN60" s="29">
        <v>3</v>
      </c>
      <c r="AO60" s="3">
        <v>8</v>
      </c>
      <c r="AP60" s="3">
        <v>360</v>
      </c>
      <c r="AR60" s="3">
        <v>368</v>
      </c>
      <c r="AW60" s="3">
        <v>10000</v>
      </c>
      <c r="AX60" s="3">
        <v>16528</v>
      </c>
      <c r="AY60" s="3">
        <v>60.5035788853056</v>
      </c>
      <c r="AZ60" s="3" t="s">
        <v>82</v>
      </c>
      <c r="BB60" s="3" t="s">
        <v>396</v>
      </c>
      <c r="BC60" s="3" t="s">
        <v>397</v>
      </c>
      <c r="BD60" s="8">
        <v>3</v>
      </c>
    </row>
    <row r="61" spans="1:56" ht="14.25" customHeight="1" thickBot="1">
      <c r="A61" s="3" t="s">
        <v>398</v>
      </c>
      <c r="B61" s="3" t="s">
        <v>86</v>
      </c>
      <c r="C61" s="3" t="s">
        <v>399</v>
      </c>
      <c r="E61" s="3" t="s">
        <v>71</v>
      </c>
      <c r="F61" s="3">
        <f t="shared" si="0"/>
        <v>2</v>
      </c>
      <c r="G61" s="3" t="s">
        <v>72</v>
      </c>
      <c r="H61" s="3">
        <f t="shared" si="1"/>
        <v>2</v>
      </c>
      <c r="I61" s="3" t="s">
        <v>73</v>
      </c>
      <c r="J61" s="3" t="s">
        <v>74</v>
      </c>
      <c r="K61" s="3" t="s">
        <v>75</v>
      </c>
      <c r="M61" s="3" t="s">
        <v>97</v>
      </c>
      <c r="N61" s="3" t="s">
        <v>98</v>
      </c>
      <c r="O61" s="3" t="s">
        <v>78</v>
      </c>
      <c r="P61" s="3" t="s">
        <v>79</v>
      </c>
      <c r="Q61" s="3" t="s">
        <v>400</v>
      </c>
      <c r="S61" s="6">
        <v>63.4</v>
      </c>
      <c r="T61" s="6">
        <v>8.44</v>
      </c>
      <c r="U61" s="6">
        <v>17.12</v>
      </c>
      <c r="AC61" s="3" t="s">
        <v>81</v>
      </c>
      <c r="AD61" s="7">
        <v>46.357999999999997</v>
      </c>
      <c r="AE61" s="8">
        <v>-94.200828799999996</v>
      </c>
      <c r="AH61" s="3">
        <v>2001</v>
      </c>
      <c r="AI61" s="3">
        <v>6</v>
      </c>
      <c r="AJ61" s="8">
        <v>13</v>
      </c>
      <c r="AK61" s="3">
        <v>2001</v>
      </c>
      <c r="AL61" s="3">
        <v>6</v>
      </c>
      <c r="AM61" s="3">
        <v>13</v>
      </c>
      <c r="AN61" s="29">
        <v>0</v>
      </c>
      <c r="AP61" s="3">
        <v>225</v>
      </c>
      <c r="AR61" s="3">
        <v>225</v>
      </c>
      <c r="AY61" s="3">
        <v>60.5035788853056</v>
      </c>
      <c r="AZ61" s="3" t="s">
        <v>82</v>
      </c>
      <c r="BB61" s="3" t="s">
        <v>401</v>
      </c>
      <c r="BC61" s="3" t="s">
        <v>402</v>
      </c>
      <c r="BD61" s="8">
        <v>3</v>
      </c>
    </row>
    <row r="62" spans="1:56" ht="14.25" customHeight="1" thickBot="1">
      <c r="A62" s="3" t="s">
        <v>403</v>
      </c>
      <c r="B62" s="3" t="s">
        <v>86</v>
      </c>
      <c r="C62" s="3" t="s">
        <v>404</v>
      </c>
      <c r="E62" s="3" t="s">
        <v>71</v>
      </c>
      <c r="F62" s="3">
        <f t="shared" si="0"/>
        <v>2</v>
      </c>
      <c r="G62" s="3" t="s">
        <v>72</v>
      </c>
      <c r="H62" s="3">
        <f t="shared" si="1"/>
        <v>2</v>
      </c>
      <c r="I62" s="3" t="s">
        <v>73</v>
      </c>
      <c r="J62" s="3" t="s">
        <v>74</v>
      </c>
      <c r="K62" s="3" t="s">
        <v>75</v>
      </c>
      <c r="M62" s="3" t="s">
        <v>97</v>
      </c>
      <c r="N62" s="3" t="s">
        <v>98</v>
      </c>
      <c r="O62" s="3" t="s">
        <v>78</v>
      </c>
      <c r="P62" s="3" t="s">
        <v>79</v>
      </c>
      <c r="Q62" s="3" t="s">
        <v>405</v>
      </c>
      <c r="S62" s="6">
        <v>0</v>
      </c>
      <c r="T62" s="6">
        <v>7.86</v>
      </c>
      <c r="U62" s="6">
        <v>27.03</v>
      </c>
      <c r="AC62" s="3" t="s">
        <v>81</v>
      </c>
      <c r="AD62" s="14">
        <v>35.293297000000003</v>
      </c>
      <c r="AE62" s="8">
        <v>-98.991662000000005</v>
      </c>
      <c r="AH62" s="3">
        <v>2001</v>
      </c>
      <c r="AI62" s="3">
        <v>10</v>
      </c>
      <c r="AJ62" s="8">
        <v>10</v>
      </c>
      <c r="AK62" s="3">
        <v>2001</v>
      </c>
      <c r="AL62" s="3">
        <v>10</v>
      </c>
      <c r="AM62" s="3">
        <v>10</v>
      </c>
      <c r="AN62" s="29">
        <v>0</v>
      </c>
      <c r="AO62" s="3">
        <v>7</v>
      </c>
      <c r="AP62" s="3">
        <v>300</v>
      </c>
      <c r="AR62" s="3">
        <v>307</v>
      </c>
      <c r="AY62" s="3">
        <v>60.5035788853056</v>
      </c>
      <c r="AZ62" s="3" t="s">
        <v>82</v>
      </c>
      <c r="BB62" s="3" t="s">
        <v>406</v>
      </c>
      <c r="BC62" s="3" t="s">
        <v>407</v>
      </c>
      <c r="BD62" s="8">
        <v>3</v>
      </c>
    </row>
    <row r="63" spans="1:56" ht="14.25" customHeight="1" thickBot="1">
      <c r="A63" s="3" t="s">
        <v>408</v>
      </c>
      <c r="B63" s="3" t="s">
        <v>86</v>
      </c>
      <c r="C63" s="3" t="s">
        <v>409</v>
      </c>
      <c r="E63" s="3" t="s">
        <v>71</v>
      </c>
      <c r="F63" s="3">
        <f t="shared" si="0"/>
        <v>2</v>
      </c>
      <c r="G63" s="3" t="s">
        <v>72</v>
      </c>
      <c r="H63" s="3">
        <f t="shared" si="1"/>
        <v>2</v>
      </c>
      <c r="I63" s="3" t="s">
        <v>73</v>
      </c>
      <c r="J63" s="3" t="s">
        <v>74</v>
      </c>
      <c r="K63" s="3" t="s">
        <v>75</v>
      </c>
      <c r="M63" s="3" t="s">
        <v>97</v>
      </c>
      <c r="N63" s="3" t="s">
        <v>98</v>
      </c>
      <c r="O63" s="3" t="s">
        <v>78</v>
      </c>
      <c r="P63" s="3" t="s">
        <v>79</v>
      </c>
      <c r="Q63" s="3" t="s">
        <v>410</v>
      </c>
      <c r="S63" s="6">
        <v>0</v>
      </c>
      <c r="T63" s="6">
        <v>18.43</v>
      </c>
      <c r="U63" s="6">
        <v>31.68</v>
      </c>
      <c r="AC63" s="3" t="s">
        <v>81</v>
      </c>
      <c r="AD63" s="7">
        <v>32.3048</v>
      </c>
      <c r="AE63" s="8">
        <v>-101.427109</v>
      </c>
      <c r="AH63" s="3">
        <v>2001</v>
      </c>
      <c r="AI63" s="3">
        <v>9</v>
      </c>
      <c r="AJ63" s="8">
        <v>24</v>
      </c>
      <c r="AK63" s="3">
        <v>2001</v>
      </c>
      <c r="AL63" s="3">
        <v>9</v>
      </c>
      <c r="AM63" s="3">
        <v>24</v>
      </c>
      <c r="AN63" s="29">
        <v>2</v>
      </c>
      <c r="AO63" s="3">
        <v>50</v>
      </c>
      <c r="AQ63" s="3">
        <v>1000</v>
      </c>
      <c r="AR63" s="3">
        <v>1050</v>
      </c>
      <c r="AW63" s="3">
        <v>30000</v>
      </c>
      <c r="AX63" s="3">
        <v>49584</v>
      </c>
      <c r="AY63" s="3">
        <v>60.5035788853056</v>
      </c>
      <c r="AZ63" s="3" t="s">
        <v>82</v>
      </c>
      <c r="BB63" s="3" t="s">
        <v>411</v>
      </c>
      <c r="BC63" s="3" t="s">
        <v>412</v>
      </c>
      <c r="BD63" s="8">
        <v>4</v>
      </c>
    </row>
    <row r="64" spans="1:56" ht="14.25" customHeight="1" thickBot="1">
      <c r="A64" s="3" t="s">
        <v>413</v>
      </c>
      <c r="B64" s="3" t="s">
        <v>86</v>
      </c>
      <c r="C64" s="3" t="s">
        <v>414</v>
      </c>
      <c r="E64" s="3" t="s">
        <v>71</v>
      </c>
      <c r="F64" s="3">
        <f t="shared" si="0"/>
        <v>2</v>
      </c>
      <c r="G64" s="3" t="s">
        <v>72</v>
      </c>
      <c r="H64" s="3">
        <f t="shared" si="1"/>
        <v>2</v>
      </c>
      <c r="I64" s="3" t="s">
        <v>73</v>
      </c>
      <c r="J64" s="3" t="s">
        <v>74</v>
      </c>
      <c r="K64" s="3" t="s">
        <v>75</v>
      </c>
      <c r="M64" s="3" t="s">
        <v>97</v>
      </c>
      <c r="N64" s="3" t="s">
        <v>98</v>
      </c>
      <c r="O64" s="3" t="s">
        <v>78</v>
      </c>
      <c r="P64" s="3" t="s">
        <v>79</v>
      </c>
      <c r="Q64" s="3" t="s">
        <v>415</v>
      </c>
      <c r="S64" s="6">
        <v>0</v>
      </c>
      <c r="T64" s="6">
        <v>17.68</v>
      </c>
      <c r="U64" s="6">
        <v>35.9</v>
      </c>
      <c r="AC64" s="3" t="s">
        <v>81</v>
      </c>
      <c r="AD64" s="7">
        <v>34.147599999999997</v>
      </c>
      <c r="AE64" s="8">
        <v>-118.14447800000001</v>
      </c>
      <c r="AH64" s="3">
        <v>2001</v>
      </c>
      <c r="AI64" s="3">
        <v>10</v>
      </c>
      <c r="AJ64" s="8">
        <v>11</v>
      </c>
      <c r="AK64" s="3">
        <v>2001</v>
      </c>
      <c r="AL64" s="3">
        <v>10</v>
      </c>
      <c r="AM64" s="3">
        <v>11</v>
      </c>
      <c r="AN64" s="29">
        <v>0</v>
      </c>
      <c r="AP64" s="3">
        <v>360</v>
      </c>
      <c r="AR64" s="3">
        <v>360</v>
      </c>
      <c r="AW64" s="3">
        <v>4000</v>
      </c>
      <c r="AX64" s="3">
        <v>6611</v>
      </c>
      <c r="AY64" s="3">
        <v>60.5035788853056</v>
      </c>
      <c r="AZ64" s="3" t="s">
        <v>82</v>
      </c>
      <c r="BB64" s="3" t="s">
        <v>416</v>
      </c>
      <c r="BC64" s="3" t="s">
        <v>417</v>
      </c>
      <c r="BD64" s="8">
        <v>3</v>
      </c>
    </row>
    <row r="65" spans="1:56" ht="14.25" customHeight="1" thickBot="1">
      <c r="A65" s="3" t="s">
        <v>418</v>
      </c>
      <c r="B65" s="3" t="s">
        <v>86</v>
      </c>
      <c r="C65" s="3" t="s">
        <v>419</v>
      </c>
      <c r="E65" s="3" t="s">
        <v>71</v>
      </c>
      <c r="F65" s="3">
        <f t="shared" si="0"/>
        <v>2</v>
      </c>
      <c r="G65" s="3" t="s">
        <v>72</v>
      </c>
      <c r="H65" s="3">
        <f t="shared" si="1"/>
        <v>2</v>
      </c>
      <c r="I65" s="3" t="s">
        <v>73</v>
      </c>
      <c r="J65" s="3" t="s">
        <v>74</v>
      </c>
      <c r="K65" s="3" t="s">
        <v>75</v>
      </c>
      <c r="M65" s="3" t="s">
        <v>97</v>
      </c>
      <c r="N65" s="3" t="s">
        <v>98</v>
      </c>
      <c r="O65" s="3" t="s">
        <v>78</v>
      </c>
      <c r="P65" s="3" t="s">
        <v>79</v>
      </c>
      <c r="Q65" s="3" t="s">
        <v>420</v>
      </c>
      <c r="S65" s="6">
        <v>0</v>
      </c>
      <c r="T65" s="6">
        <v>12.2</v>
      </c>
      <c r="U65" s="6">
        <v>28.35</v>
      </c>
      <c r="AC65" s="3" t="s">
        <v>81</v>
      </c>
      <c r="AD65" s="7">
        <v>29.3474</v>
      </c>
      <c r="AE65" s="8">
        <v>-99.1412026</v>
      </c>
      <c r="AH65" s="3">
        <v>2001</v>
      </c>
      <c r="AI65" s="3">
        <v>10</v>
      </c>
      <c r="AJ65" s="8">
        <v>12</v>
      </c>
      <c r="AK65" s="3">
        <v>2001</v>
      </c>
      <c r="AL65" s="3">
        <v>10</v>
      </c>
      <c r="AM65" s="3">
        <v>12</v>
      </c>
      <c r="AN65" s="29">
        <v>0</v>
      </c>
      <c r="AO65" s="3">
        <v>2</v>
      </c>
      <c r="AP65" s="3">
        <v>1800</v>
      </c>
      <c r="AQ65" s="3">
        <v>150</v>
      </c>
      <c r="AR65" s="3">
        <v>1952</v>
      </c>
      <c r="AW65" s="3">
        <v>7000</v>
      </c>
      <c r="AX65" s="3">
        <v>11570</v>
      </c>
      <c r="AY65" s="3">
        <v>60.5035788853056</v>
      </c>
      <c r="AZ65" s="3" t="s">
        <v>82</v>
      </c>
      <c r="BB65" s="3" t="s">
        <v>421</v>
      </c>
      <c r="BC65" s="3" t="s">
        <v>422</v>
      </c>
      <c r="BD65" s="8">
        <v>4</v>
      </c>
    </row>
    <row r="66" spans="1:56" ht="14.25" customHeight="1" thickBot="1">
      <c r="A66" s="3" t="s">
        <v>423</v>
      </c>
      <c r="B66" s="3" t="s">
        <v>86</v>
      </c>
      <c r="C66" s="3" t="s">
        <v>424</v>
      </c>
      <c r="E66" s="3" t="s">
        <v>71</v>
      </c>
      <c r="F66" s="3">
        <f t="shared" si="0"/>
        <v>2</v>
      </c>
      <c r="G66" s="3" t="s">
        <v>72</v>
      </c>
      <c r="H66" s="3">
        <f t="shared" si="1"/>
        <v>2</v>
      </c>
      <c r="I66" s="3" t="s">
        <v>73</v>
      </c>
      <c r="J66" s="3" t="s">
        <v>74</v>
      </c>
      <c r="K66" s="3" t="s">
        <v>75</v>
      </c>
      <c r="M66" s="3" t="s">
        <v>97</v>
      </c>
      <c r="N66" s="3" t="s">
        <v>98</v>
      </c>
      <c r="O66" s="3" t="s">
        <v>78</v>
      </c>
      <c r="P66" s="3" t="s">
        <v>79</v>
      </c>
      <c r="Q66" s="3" t="s">
        <v>425</v>
      </c>
      <c r="S66" s="16">
        <v>0</v>
      </c>
      <c r="T66" s="16">
        <v>10.73</v>
      </c>
      <c r="U66" s="16">
        <v>28.09</v>
      </c>
      <c r="AC66" s="3" t="s">
        <v>81</v>
      </c>
      <c r="AD66" s="5">
        <v>42.447835792302101</v>
      </c>
      <c r="AE66" s="17">
        <v>-96.567752813658004</v>
      </c>
      <c r="AH66" s="3">
        <v>2001</v>
      </c>
      <c r="AI66" s="3">
        <v>8</v>
      </c>
      <c r="AJ66" s="8">
        <v>17</v>
      </c>
      <c r="AK66" s="3">
        <v>2001</v>
      </c>
      <c r="AL66" s="3">
        <v>8</v>
      </c>
      <c r="AM66" s="3">
        <v>17</v>
      </c>
      <c r="AN66" s="29">
        <v>0</v>
      </c>
      <c r="AO66" s="3">
        <v>2</v>
      </c>
      <c r="AP66" s="3">
        <v>200</v>
      </c>
      <c r="AR66" s="3">
        <v>202</v>
      </c>
      <c r="AW66" s="3">
        <v>3000</v>
      </c>
      <c r="AX66" s="3">
        <v>4958</v>
      </c>
      <c r="AY66" s="3">
        <v>60.5035788853056</v>
      </c>
      <c r="AZ66" s="3" t="s">
        <v>82</v>
      </c>
      <c r="BB66" s="3" t="s">
        <v>426</v>
      </c>
      <c r="BC66" s="3" t="s">
        <v>427</v>
      </c>
      <c r="BD66" s="8">
        <v>3</v>
      </c>
    </row>
    <row r="67" spans="1:56" ht="14.25" customHeight="1" thickBot="1">
      <c r="A67" s="3" t="s">
        <v>428</v>
      </c>
      <c r="B67" s="3" t="s">
        <v>86</v>
      </c>
      <c r="C67" s="3" t="s">
        <v>429</v>
      </c>
      <c r="E67" s="3" t="s">
        <v>71</v>
      </c>
      <c r="F67" s="3">
        <f t="shared" si="0"/>
        <v>1</v>
      </c>
      <c r="G67" s="3" t="s">
        <v>94</v>
      </c>
      <c r="H67" s="3">
        <f t="shared" si="1"/>
        <v>1</v>
      </c>
      <c r="I67" s="3" t="s">
        <v>95</v>
      </c>
      <c r="J67" s="3" t="s">
        <v>96</v>
      </c>
      <c r="M67" s="3" t="s">
        <v>97</v>
      </c>
      <c r="N67" s="3" t="s">
        <v>98</v>
      </c>
      <c r="O67" s="3" t="s">
        <v>78</v>
      </c>
      <c r="P67" s="3" t="s">
        <v>79</v>
      </c>
      <c r="Q67" s="3" t="s">
        <v>430</v>
      </c>
      <c r="R67" s="3" t="s">
        <v>431</v>
      </c>
      <c r="S67" s="18">
        <v>0</v>
      </c>
      <c r="T67" s="18">
        <v>-8.26</v>
      </c>
      <c r="U67" s="18">
        <v>-0.73</v>
      </c>
      <c r="AB67" s="3">
        <v>24</v>
      </c>
      <c r="AC67" s="3" t="s">
        <v>102</v>
      </c>
      <c r="AD67" s="5">
        <v>41.505369287526896</v>
      </c>
      <c r="AE67" s="17">
        <v>-90.314737449632105</v>
      </c>
      <c r="AG67" s="3" t="s">
        <v>432</v>
      </c>
      <c r="AH67" s="3">
        <v>2001</v>
      </c>
      <c r="AI67" s="3">
        <v>2</v>
      </c>
      <c r="AJ67" s="8">
        <v>27</v>
      </c>
      <c r="AK67" s="3">
        <v>2001</v>
      </c>
      <c r="AL67" s="3">
        <v>3</v>
      </c>
      <c r="AM67" s="3">
        <v>1</v>
      </c>
      <c r="AN67" s="29">
        <v>0</v>
      </c>
      <c r="AP67" s="3">
        <v>200</v>
      </c>
      <c r="AR67" s="3">
        <v>200</v>
      </c>
      <c r="AY67" s="3">
        <v>60.5035788853056</v>
      </c>
      <c r="AZ67" s="3" t="s">
        <v>82</v>
      </c>
      <c r="BB67" s="3" t="s">
        <v>433</v>
      </c>
      <c r="BC67" s="3" t="s">
        <v>434</v>
      </c>
      <c r="BD67" s="8">
        <v>3</v>
      </c>
    </row>
    <row r="68" spans="1:56" ht="14.25" customHeight="1" thickBot="1">
      <c r="A68" s="3" t="s">
        <v>435</v>
      </c>
      <c r="B68" s="3" t="s">
        <v>86</v>
      </c>
      <c r="C68" s="3" t="s">
        <v>436</v>
      </c>
      <c r="E68" s="3" t="s">
        <v>71</v>
      </c>
      <c r="F68" s="3">
        <f t="shared" si="0"/>
        <v>1</v>
      </c>
      <c r="G68" s="3" t="s">
        <v>94</v>
      </c>
      <c r="H68" s="3">
        <f t="shared" si="1"/>
        <v>1</v>
      </c>
      <c r="I68" s="3" t="s">
        <v>95</v>
      </c>
      <c r="J68" s="3" t="s">
        <v>96</v>
      </c>
      <c r="M68" s="3" t="s">
        <v>97</v>
      </c>
      <c r="N68" s="3" t="s">
        <v>98</v>
      </c>
      <c r="O68" s="3" t="s">
        <v>78</v>
      </c>
      <c r="P68" s="3" t="s">
        <v>79</v>
      </c>
      <c r="Q68" s="3" t="s">
        <v>437</v>
      </c>
      <c r="R68" s="3" t="s">
        <v>438</v>
      </c>
      <c r="S68" s="18">
        <v>5.84</v>
      </c>
      <c r="T68" s="18">
        <v>0.83</v>
      </c>
      <c r="U68" s="18">
        <v>11.18</v>
      </c>
      <c r="AB68" s="3">
        <v>63380</v>
      </c>
      <c r="AC68" s="3" t="s">
        <v>102</v>
      </c>
      <c r="AD68" s="5">
        <v>44.785229754140801</v>
      </c>
      <c r="AE68" s="17">
        <v>-93.235859733794101</v>
      </c>
      <c r="AG68" s="3" t="s">
        <v>439</v>
      </c>
      <c r="AH68" s="3">
        <v>2001</v>
      </c>
      <c r="AI68" s="3">
        <v>4</v>
      </c>
      <c r="AJ68" s="8">
        <v>15</v>
      </c>
      <c r="AK68" s="3">
        <v>2001</v>
      </c>
      <c r="AL68" s="3">
        <v>5</v>
      </c>
      <c r="AM68" s="3">
        <v>15</v>
      </c>
      <c r="AN68" s="29">
        <v>1</v>
      </c>
      <c r="AP68" s="3">
        <v>4400</v>
      </c>
      <c r="AR68" s="3">
        <v>4400</v>
      </c>
      <c r="AW68" s="3">
        <v>13000</v>
      </c>
      <c r="AX68" s="3">
        <v>21486</v>
      </c>
      <c r="AY68" s="3">
        <v>60.5035788853056</v>
      </c>
      <c r="AZ68" s="3" t="s">
        <v>89</v>
      </c>
      <c r="BA68" s="3" t="s">
        <v>440</v>
      </c>
      <c r="BC68" s="3" t="s">
        <v>441</v>
      </c>
      <c r="BD68" s="8">
        <v>4</v>
      </c>
    </row>
    <row r="69" spans="1:56" ht="14.25" customHeight="1" thickBot="1">
      <c r="A69" s="3" t="s">
        <v>442</v>
      </c>
      <c r="B69" s="3" t="s">
        <v>86</v>
      </c>
      <c r="C69" s="3" t="s">
        <v>443</v>
      </c>
      <c r="E69" s="3" t="s">
        <v>71</v>
      </c>
      <c r="F69" s="3">
        <f t="shared" si="0"/>
        <v>1</v>
      </c>
      <c r="G69" s="3" t="s">
        <v>94</v>
      </c>
      <c r="H69" s="3">
        <f t="shared" si="1"/>
        <v>1</v>
      </c>
      <c r="I69" s="3" t="s">
        <v>95</v>
      </c>
      <c r="J69" s="3" t="s">
        <v>96</v>
      </c>
      <c r="M69" s="3" t="s">
        <v>97</v>
      </c>
      <c r="N69" s="3" t="s">
        <v>98</v>
      </c>
      <c r="O69" s="3" t="s">
        <v>78</v>
      </c>
      <c r="P69" s="3" t="s">
        <v>79</v>
      </c>
      <c r="Q69" s="3" t="s">
        <v>444</v>
      </c>
      <c r="R69" s="3" t="s">
        <v>100</v>
      </c>
      <c r="S69" s="18">
        <v>29.33</v>
      </c>
      <c r="T69" s="18">
        <v>14.1</v>
      </c>
      <c r="U69" s="18">
        <v>18.53</v>
      </c>
      <c r="AB69" s="3">
        <v>7730</v>
      </c>
      <c r="AC69" s="3" t="s">
        <v>102</v>
      </c>
      <c r="AD69" s="9">
        <v>31.26389</v>
      </c>
      <c r="AE69" s="11">
        <v>-98.545611600000001</v>
      </c>
      <c r="AG69" s="3" t="s">
        <v>445</v>
      </c>
      <c r="AH69" s="3">
        <v>2001</v>
      </c>
      <c r="AI69" s="3">
        <v>11</v>
      </c>
      <c r="AJ69" s="8">
        <v>15</v>
      </c>
      <c r="AK69" s="3">
        <v>2001</v>
      </c>
      <c r="AL69" s="3">
        <v>11</v>
      </c>
      <c r="AM69" s="3">
        <v>19</v>
      </c>
      <c r="AN69" s="29">
        <v>9</v>
      </c>
      <c r="AP69" s="3">
        <v>600</v>
      </c>
      <c r="AR69" s="3">
        <v>600</v>
      </c>
      <c r="AY69" s="3">
        <v>60.5035788853056</v>
      </c>
      <c r="AZ69" s="3" t="s">
        <v>89</v>
      </c>
      <c r="BA69" s="3" t="s">
        <v>446</v>
      </c>
      <c r="BC69" s="3" t="s">
        <v>447</v>
      </c>
      <c r="BD69" s="8">
        <v>3</v>
      </c>
    </row>
    <row r="70" spans="1:56" ht="14.25" customHeight="1" thickBot="1">
      <c r="A70" s="3" t="s">
        <v>448</v>
      </c>
      <c r="B70" s="3" t="s">
        <v>86</v>
      </c>
      <c r="C70" s="3" t="s">
        <v>449</v>
      </c>
      <c r="E70" s="3" t="s">
        <v>71</v>
      </c>
      <c r="F70" s="3">
        <f t="shared" si="0"/>
        <v>2</v>
      </c>
      <c r="G70" s="3" t="s">
        <v>72</v>
      </c>
      <c r="H70" s="3">
        <f t="shared" si="1"/>
        <v>4</v>
      </c>
      <c r="I70" s="3" t="s">
        <v>219</v>
      </c>
      <c r="J70" s="3" t="s">
        <v>220</v>
      </c>
      <c r="M70" s="3" t="s">
        <v>97</v>
      </c>
      <c r="N70" s="3" t="s">
        <v>98</v>
      </c>
      <c r="O70" s="3" t="s">
        <v>78</v>
      </c>
      <c r="P70" s="3" t="s">
        <v>79</v>
      </c>
      <c r="Q70" s="3" t="s">
        <v>450</v>
      </c>
      <c r="S70" s="18">
        <v>0</v>
      </c>
      <c r="T70" s="18">
        <v>21.65</v>
      </c>
      <c r="U70" s="18">
        <v>33.979999999999997</v>
      </c>
      <c r="AC70" s="3" t="s">
        <v>222</v>
      </c>
      <c r="AD70" s="7">
        <v>40.079700000000003</v>
      </c>
      <c r="AE70" s="8">
        <v>-89.433728799999997</v>
      </c>
      <c r="AH70" s="3">
        <v>2001</v>
      </c>
      <c r="AI70" s="3">
        <v>8</v>
      </c>
      <c r="AJ70" s="8">
        <v>1</v>
      </c>
      <c r="AK70" s="3">
        <v>2001</v>
      </c>
      <c r="AL70" s="3">
        <v>8</v>
      </c>
      <c r="AN70" s="29">
        <v>56</v>
      </c>
      <c r="AY70" s="3">
        <v>60.5035788853056</v>
      </c>
      <c r="AZ70" s="3" t="s">
        <v>89</v>
      </c>
      <c r="BA70" s="3" t="s">
        <v>451</v>
      </c>
      <c r="BC70" s="3" t="s">
        <v>452</v>
      </c>
      <c r="BD70" s="8">
        <v>0</v>
      </c>
    </row>
    <row r="71" spans="1:56" ht="14.25" customHeight="1" thickBot="1">
      <c r="A71" s="3" t="s">
        <v>453</v>
      </c>
      <c r="B71" s="3" t="s">
        <v>86</v>
      </c>
      <c r="C71" s="3" t="s">
        <v>454</v>
      </c>
      <c r="E71" s="3" t="s">
        <v>71</v>
      </c>
      <c r="F71" s="3">
        <f t="shared" si="0"/>
        <v>3</v>
      </c>
      <c r="G71" s="3" t="s">
        <v>119</v>
      </c>
      <c r="H71" s="3">
        <f t="shared" si="1"/>
        <v>3</v>
      </c>
      <c r="I71" s="3" t="s">
        <v>122</v>
      </c>
      <c r="J71" s="3" t="s">
        <v>227</v>
      </c>
      <c r="M71" s="3" t="s">
        <v>97</v>
      </c>
      <c r="N71" s="3" t="s">
        <v>98</v>
      </c>
      <c r="O71" s="3" t="s">
        <v>78</v>
      </c>
      <c r="P71" s="3" t="s">
        <v>79</v>
      </c>
      <c r="Q71" s="3" t="s">
        <v>455</v>
      </c>
      <c r="S71" s="18">
        <v>0</v>
      </c>
      <c r="T71" s="18">
        <v>14.32</v>
      </c>
      <c r="U71" s="18">
        <v>25.94</v>
      </c>
      <c r="AB71" s="3">
        <v>1030</v>
      </c>
      <c r="AC71" s="3" t="s">
        <v>102</v>
      </c>
      <c r="AD71" s="5">
        <v>28.333857534439701</v>
      </c>
      <c r="AE71" s="17">
        <v>-81.519908665625707</v>
      </c>
      <c r="AH71" s="3">
        <v>2001</v>
      </c>
      <c r="AI71" s="3">
        <v>4</v>
      </c>
      <c r="AJ71" s="8">
        <v>1</v>
      </c>
      <c r="AK71" s="3">
        <v>2001</v>
      </c>
      <c r="AL71" s="3">
        <v>4</v>
      </c>
      <c r="AN71" s="29">
        <v>1</v>
      </c>
      <c r="AO71" s="3">
        <v>10</v>
      </c>
      <c r="AP71" s="3">
        <v>129</v>
      </c>
      <c r="AR71" s="3">
        <v>139</v>
      </c>
      <c r="AY71" s="3">
        <v>60.5035788853056</v>
      </c>
      <c r="AZ71" s="3" t="s">
        <v>89</v>
      </c>
      <c r="BA71" s="3" t="s">
        <v>456</v>
      </c>
      <c r="BC71" s="3" t="s">
        <v>457</v>
      </c>
      <c r="BD71" s="8">
        <v>3</v>
      </c>
    </row>
    <row r="72" spans="1:56" ht="14.25" customHeight="1" thickBot="1">
      <c r="A72" s="3" t="s">
        <v>458</v>
      </c>
      <c r="B72" s="3" t="s">
        <v>86</v>
      </c>
      <c r="C72" s="3" t="s">
        <v>459</v>
      </c>
      <c r="E72" s="3" t="s">
        <v>71</v>
      </c>
      <c r="F72" s="3">
        <f t="shared" si="0"/>
        <v>3</v>
      </c>
      <c r="G72" s="3" t="s">
        <v>119</v>
      </c>
      <c r="H72" s="3">
        <f t="shared" si="1"/>
        <v>3</v>
      </c>
      <c r="I72" s="3" t="s">
        <v>122</v>
      </c>
      <c r="J72" s="3" t="s">
        <v>227</v>
      </c>
      <c r="M72" s="3" t="s">
        <v>97</v>
      </c>
      <c r="N72" s="3" t="s">
        <v>98</v>
      </c>
      <c r="O72" s="3" t="s">
        <v>78</v>
      </c>
      <c r="P72" s="3" t="s">
        <v>79</v>
      </c>
      <c r="Q72" s="3" t="s">
        <v>460</v>
      </c>
      <c r="S72" s="18">
        <v>0</v>
      </c>
      <c r="T72" s="18">
        <v>8.57</v>
      </c>
      <c r="U72" s="18">
        <v>30.31</v>
      </c>
      <c r="AB72" s="3">
        <v>797</v>
      </c>
      <c r="AC72" s="3" t="s">
        <v>102</v>
      </c>
      <c r="AD72" s="5">
        <v>44.139264870246301</v>
      </c>
      <c r="AE72" s="17">
        <v>-117.89378398587</v>
      </c>
      <c r="AH72" s="3">
        <v>2001</v>
      </c>
      <c r="AI72" s="3">
        <v>8</v>
      </c>
      <c r="AJ72" s="8">
        <v>1</v>
      </c>
      <c r="AK72" s="3">
        <v>2001</v>
      </c>
      <c r="AL72" s="3">
        <v>8</v>
      </c>
      <c r="AN72" s="29">
        <v>0</v>
      </c>
      <c r="AY72" s="3">
        <v>60.5035788853056</v>
      </c>
      <c r="AZ72" s="3" t="s">
        <v>89</v>
      </c>
      <c r="BA72" s="3" t="s">
        <v>461</v>
      </c>
      <c r="BC72" s="3" t="s">
        <v>462</v>
      </c>
      <c r="BD72" s="8">
        <v>0</v>
      </c>
    </row>
    <row r="73" spans="1:56" ht="14.25" customHeight="1" thickBot="1">
      <c r="A73" s="3" t="s">
        <v>463</v>
      </c>
      <c r="B73" s="3" t="s">
        <v>86</v>
      </c>
      <c r="C73" s="3" t="s">
        <v>464</v>
      </c>
      <c r="E73" s="3" t="s">
        <v>71</v>
      </c>
      <c r="F73" s="3">
        <f t="shared" si="0"/>
        <v>3</v>
      </c>
      <c r="G73" s="3" t="s">
        <v>119</v>
      </c>
      <c r="H73" s="3">
        <f t="shared" si="1"/>
        <v>3</v>
      </c>
      <c r="I73" s="3" t="s">
        <v>122</v>
      </c>
      <c r="J73" s="3" t="s">
        <v>227</v>
      </c>
      <c r="M73" s="3" t="s">
        <v>97</v>
      </c>
      <c r="N73" s="3" t="s">
        <v>98</v>
      </c>
      <c r="O73" s="3" t="s">
        <v>78</v>
      </c>
      <c r="P73" s="3" t="s">
        <v>79</v>
      </c>
      <c r="Q73" s="3" t="s">
        <v>465</v>
      </c>
      <c r="S73" s="18">
        <v>0</v>
      </c>
      <c r="T73" s="18">
        <v>-1.1499999999999999</v>
      </c>
      <c r="U73" s="18">
        <v>20.95</v>
      </c>
      <c r="AB73" s="3">
        <v>283</v>
      </c>
      <c r="AC73" s="3" t="s">
        <v>102</v>
      </c>
      <c r="AD73" s="6">
        <v>35.773009999999999</v>
      </c>
      <c r="AE73" s="6">
        <v>-86.282008000000005</v>
      </c>
      <c r="AH73" s="3">
        <v>2001</v>
      </c>
      <c r="AI73" s="3">
        <v>10</v>
      </c>
      <c r="AJ73" s="8">
        <v>30</v>
      </c>
      <c r="AK73" s="3">
        <v>2001</v>
      </c>
      <c r="AL73" s="3">
        <v>10</v>
      </c>
      <c r="AM73" s="3">
        <v>30</v>
      </c>
      <c r="AN73" s="29">
        <v>1</v>
      </c>
      <c r="AY73" s="3">
        <v>60.5035788853056</v>
      </c>
      <c r="AZ73" s="3" t="s">
        <v>89</v>
      </c>
      <c r="BA73" s="3" t="s">
        <v>466</v>
      </c>
      <c r="BC73" s="3" t="s">
        <v>467</v>
      </c>
      <c r="BD73" s="8">
        <v>0</v>
      </c>
    </row>
    <row r="74" spans="1:56" ht="14.25" customHeight="1" thickBot="1">
      <c r="A74" s="3" t="s">
        <v>468</v>
      </c>
      <c r="B74" s="3" t="s">
        <v>86</v>
      </c>
      <c r="C74" s="3" t="s">
        <v>469</v>
      </c>
      <c r="E74" s="3" t="s">
        <v>71</v>
      </c>
      <c r="F74" s="3">
        <f t="shared" si="0"/>
        <v>2</v>
      </c>
      <c r="G74" s="3" t="s">
        <v>72</v>
      </c>
      <c r="H74" s="3">
        <f t="shared" si="1"/>
        <v>2</v>
      </c>
      <c r="I74" s="3" t="s">
        <v>73</v>
      </c>
      <c r="M74" s="3" t="s">
        <v>97</v>
      </c>
      <c r="N74" s="3" t="s">
        <v>98</v>
      </c>
      <c r="O74" s="3" t="s">
        <v>78</v>
      </c>
      <c r="P74" s="3" t="s">
        <v>79</v>
      </c>
      <c r="Q74" s="3" t="s">
        <v>470</v>
      </c>
      <c r="S74" s="18">
        <v>0</v>
      </c>
      <c r="T74" s="18">
        <v>20.399999999999999</v>
      </c>
      <c r="U74" s="18">
        <v>32.08</v>
      </c>
      <c r="AC74" s="3" t="s">
        <v>81</v>
      </c>
      <c r="AD74" s="6">
        <v>35.773009999999999</v>
      </c>
      <c r="AE74" s="6">
        <v>-86.282008000000005</v>
      </c>
      <c r="AH74" s="3">
        <v>2001</v>
      </c>
      <c r="AI74" s="3">
        <v>8</v>
      </c>
      <c r="AJ74" s="8">
        <v>1</v>
      </c>
      <c r="AK74" s="3">
        <v>2001</v>
      </c>
      <c r="AL74" s="3">
        <v>8</v>
      </c>
      <c r="AN74" s="29">
        <v>11</v>
      </c>
      <c r="AQ74" s="3">
        <v>200</v>
      </c>
      <c r="AR74" s="3">
        <v>200</v>
      </c>
      <c r="AY74" s="3">
        <v>60.5035788853056</v>
      </c>
      <c r="AZ74" s="3" t="s">
        <v>89</v>
      </c>
      <c r="BA74" s="3" t="s">
        <v>471</v>
      </c>
      <c r="BC74" s="3" t="s">
        <v>472</v>
      </c>
      <c r="BD74" s="8">
        <v>3</v>
      </c>
    </row>
    <row r="75" spans="1:56" ht="14.25" customHeight="1" thickBot="1">
      <c r="A75" s="3" t="s">
        <v>473</v>
      </c>
      <c r="B75" s="3" t="s">
        <v>86</v>
      </c>
      <c r="C75" s="3" t="s">
        <v>474</v>
      </c>
      <c r="E75" s="3" t="s">
        <v>71</v>
      </c>
      <c r="F75" s="3">
        <f t="shared" si="0"/>
        <v>1</v>
      </c>
      <c r="G75" s="3" t="s">
        <v>94</v>
      </c>
      <c r="H75" s="3">
        <f t="shared" si="1"/>
        <v>1</v>
      </c>
      <c r="I75" s="3" t="s">
        <v>95</v>
      </c>
      <c r="M75" s="3" t="s">
        <v>97</v>
      </c>
      <c r="N75" s="3" t="s">
        <v>98</v>
      </c>
      <c r="O75" s="3" t="s">
        <v>78</v>
      </c>
      <c r="P75" s="3" t="s">
        <v>79</v>
      </c>
      <c r="Q75" s="3" t="s">
        <v>475</v>
      </c>
      <c r="S75" s="18">
        <v>0</v>
      </c>
      <c r="T75" s="18">
        <v>16.78</v>
      </c>
      <c r="U75" s="18">
        <v>29.43</v>
      </c>
      <c r="AC75" s="3" t="s">
        <v>102</v>
      </c>
      <c r="AD75" s="6">
        <v>38.895040000000002</v>
      </c>
      <c r="AE75" s="6">
        <v>-77.036542999999995</v>
      </c>
      <c r="AH75" s="3">
        <v>2001</v>
      </c>
      <c r="AI75" s="3">
        <v>8</v>
      </c>
      <c r="AJ75" s="8">
        <v>1</v>
      </c>
      <c r="AK75" s="3">
        <v>2001</v>
      </c>
      <c r="AL75" s="3">
        <v>8</v>
      </c>
      <c r="AN75" s="29">
        <v>0</v>
      </c>
      <c r="AP75" s="3">
        <v>3600</v>
      </c>
      <c r="AR75" s="3">
        <v>3600</v>
      </c>
      <c r="AY75" s="3">
        <v>60.5035788853056</v>
      </c>
      <c r="AZ75" s="3" t="s">
        <v>89</v>
      </c>
      <c r="BA75" s="3" t="s">
        <v>476</v>
      </c>
      <c r="BC75" s="3" t="s">
        <v>477</v>
      </c>
      <c r="BD75" s="8">
        <v>4</v>
      </c>
    </row>
    <row r="76" spans="1:56" ht="14.25" customHeight="1" thickBot="1">
      <c r="A76" s="3" t="s">
        <v>478</v>
      </c>
      <c r="B76" s="3" t="s">
        <v>312</v>
      </c>
      <c r="C76" s="3" t="s">
        <v>479</v>
      </c>
      <c r="E76" s="3" t="s">
        <v>71</v>
      </c>
      <c r="F76" s="3">
        <f t="shared" si="0"/>
        <v>2</v>
      </c>
      <c r="G76" s="3" t="s">
        <v>72</v>
      </c>
      <c r="H76" s="3">
        <f t="shared" si="1"/>
        <v>2</v>
      </c>
      <c r="I76" s="3" t="s">
        <v>73</v>
      </c>
      <c r="M76" s="3" t="s">
        <v>97</v>
      </c>
      <c r="N76" s="3" t="s">
        <v>98</v>
      </c>
      <c r="O76" s="3" t="s">
        <v>78</v>
      </c>
      <c r="P76" s="3" t="s">
        <v>79</v>
      </c>
      <c r="Q76" s="3" t="s">
        <v>480</v>
      </c>
      <c r="S76" s="18">
        <v>0</v>
      </c>
      <c r="T76" s="18">
        <v>12.09</v>
      </c>
      <c r="U76" s="18">
        <v>22.91</v>
      </c>
      <c r="V76" s="3" t="s">
        <v>95</v>
      </c>
      <c r="W76" s="3" t="s">
        <v>101</v>
      </c>
      <c r="AC76" s="3" t="s">
        <v>81</v>
      </c>
      <c r="AD76" s="5">
        <v>35.815940759462698</v>
      </c>
      <c r="AE76" s="17">
        <v>-83.5046726303258</v>
      </c>
      <c r="AG76" s="3" t="s">
        <v>481</v>
      </c>
      <c r="AH76" s="3">
        <v>2002</v>
      </c>
      <c r="AI76" s="3">
        <v>3</v>
      </c>
      <c r="AJ76" s="8">
        <v>19</v>
      </c>
      <c r="AK76" s="3">
        <v>2002</v>
      </c>
      <c r="AL76" s="3">
        <v>3</v>
      </c>
      <c r="AM76" s="3">
        <v>19</v>
      </c>
      <c r="AN76" s="29">
        <v>6</v>
      </c>
      <c r="AO76" s="3">
        <v>4</v>
      </c>
      <c r="AP76" s="3">
        <v>750</v>
      </c>
      <c r="AR76" s="3">
        <v>754</v>
      </c>
      <c r="AU76" s="3">
        <v>200500</v>
      </c>
      <c r="AV76" s="3">
        <v>326212</v>
      </c>
      <c r="AW76" s="3">
        <v>200500</v>
      </c>
      <c r="AX76" s="3">
        <v>326212</v>
      </c>
      <c r="AY76" s="3">
        <v>61.463188261191398</v>
      </c>
      <c r="AZ76" s="3" t="s">
        <v>206</v>
      </c>
      <c r="BA76" s="3" t="s">
        <v>482</v>
      </c>
      <c r="BB76" s="3" t="s">
        <v>483</v>
      </c>
      <c r="BC76" s="3" t="s">
        <v>484</v>
      </c>
      <c r="BD76" s="8">
        <v>3</v>
      </c>
    </row>
    <row r="77" spans="1:56" ht="14.25" customHeight="1" thickBot="1">
      <c r="A77" s="3" t="s">
        <v>485</v>
      </c>
      <c r="B77" s="3" t="s">
        <v>312</v>
      </c>
      <c r="C77" s="3" t="s">
        <v>443</v>
      </c>
      <c r="E77" s="3" t="s">
        <v>71</v>
      </c>
      <c r="F77" s="3">
        <f t="shared" si="0"/>
        <v>2</v>
      </c>
      <c r="G77" s="3" t="s">
        <v>72</v>
      </c>
      <c r="H77" s="3">
        <f t="shared" si="1"/>
        <v>2</v>
      </c>
      <c r="I77" s="3" t="s">
        <v>73</v>
      </c>
      <c r="J77" s="3" t="s">
        <v>212</v>
      </c>
      <c r="L77" s="3" t="s">
        <v>486</v>
      </c>
      <c r="M77" s="3" t="s">
        <v>97</v>
      </c>
      <c r="N77" s="3" t="s">
        <v>98</v>
      </c>
      <c r="O77" s="3" t="s">
        <v>78</v>
      </c>
      <c r="P77" s="3" t="s">
        <v>79</v>
      </c>
      <c r="Q77" s="3" t="s">
        <v>487</v>
      </c>
      <c r="S77" s="18">
        <v>73.42</v>
      </c>
      <c r="T77" s="18">
        <v>21.49</v>
      </c>
      <c r="U77" s="18">
        <v>27.74</v>
      </c>
      <c r="V77" s="3" t="s">
        <v>95</v>
      </c>
      <c r="AC77" s="3" t="s">
        <v>81</v>
      </c>
      <c r="AD77" s="5">
        <v>30.604800729255501</v>
      </c>
      <c r="AE77" s="17">
        <v>-92.266093048356495</v>
      </c>
      <c r="AH77" s="3">
        <v>2002</v>
      </c>
      <c r="AI77" s="3">
        <v>10</v>
      </c>
      <c r="AJ77" s="8">
        <v>3</v>
      </c>
      <c r="AK77" s="3">
        <v>2002</v>
      </c>
      <c r="AL77" s="3">
        <v>10</v>
      </c>
      <c r="AM77" s="3">
        <v>3</v>
      </c>
      <c r="AN77" s="29">
        <v>0</v>
      </c>
      <c r="AU77" s="3">
        <v>750000</v>
      </c>
      <c r="AV77" s="3">
        <v>1220243</v>
      </c>
      <c r="AW77" s="3">
        <v>2000000</v>
      </c>
      <c r="AX77" s="3">
        <v>3253980</v>
      </c>
      <c r="AY77" s="3">
        <v>61.463188261191398</v>
      </c>
      <c r="AZ77" s="3" t="s">
        <v>82</v>
      </c>
      <c r="BB77" s="3" t="s">
        <v>488</v>
      </c>
      <c r="BC77" s="3" t="s">
        <v>489</v>
      </c>
      <c r="BD77" s="8">
        <v>0</v>
      </c>
    </row>
    <row r="78" spans="1:56" ht="14.25" customHeight="1" thickBot="1">
      <c r="A78" s="3" t="s">
        <v>490</v>
      </c>
      <c r="B78" s="3" t="s">
        <v>312</v>
      </c>
      <c r="C78" s="3" t="s">
        <v>491</v>
      </c>
      <c r="E78" s="3" t="s">
        <v>71</v>
      </c>
      <c r="F78" s="3">
        <f t="shared" si="0"/>
        <v>2</v>
      </c>
      <c r="G78" s="3" t="s">
        <v>72</v>
      </c>
      <c r="H78" s="3">
        <f t="shared" si="1"/>
        <v>2</v>
      </c>
      <c r="I78" s="3" t="s">
        <v>73</v>
      </c>
      <c r="J78" s="3" t="s">
        <v>74</v>
      </c>
      <c r="K78" s="3" t="s">
        <v>127</v>
      </c>
      <c r="M78" s="3" t="s">
        <v>97</v>
      </c>
      <c r="N78" s="3" t="s">
        <v>98</v>
      </c>
      <c r="O78" s="3" t="s">
        <v>78</v>
      </c>
      <c r="P78" s="3" t="s">
        <v>79</v>
      </c>
      <c r="Q78" s="3" t="s">
        <v>492</v>
      </c>
      <c r="S78" s="18">
        <v>0</v>
      </c>
      <c r="T78" s="18">
        <v>-5.94</v>
      </c>
      <c r="U78" s="18">
        <v>4.5</v>
      </c>
      <c r="V78" s="3" t="s">
        <v>129</v>
      </c>
      <c r="AB78" s="3">
        <v>114</v>
      </c>
      <c r="AC78" s="3" t="s">
        <v>81</v>
      </c>
      <c r="AD78" s="6">
        <v>33.258879999999998</v>
      </c>
      <c r="AE78" s="6">
        <v>-86.829533999999995</v>
      </c>
      <c r="AH78" s="3">
        <v>2002</v>
      </c>
      <c r="AI78" s="3">
        <v>1</v>
      </c>
      <c r="AJ78" s="8">
        <v>1</v>
      </c>
      <c r="AK78" s="3">
        <v>2002</v>
      </c>
      <c r="AL78" s="3">
        <v>1</v>
      </c>
      <c r="AN78" s="29">
        <v>24</v>
      </c>
      <c r="AY78" s="3">
        <v>61.463188261191398</v>
      </c>
      <c r="AZ78" s="3" t="s">
        <v>89</v>
      </c>
      <c r="BA78" s="3" t="s">
        <v>493</v>
      </c>
      <c r="BC78" s="3" t="s">
        <v>494</v>
      </c>
      <c r="BD78" s="8">
        <v>0</v>
      </c>
    </row>
    <row r="79" spans="1:56" ht="14.25" customHeight="1" thickBot="1">
      <c r="A79" s="3" t="s">
        <v>495</v>
      </c>
      <c r="B79" s="3" t="s">
        <v>312</v>
      </c>
      <c r="C79" s="3" t="s">
        <v>226</v>
      </c>
      <c r="E79" s="3" t="s">
        <v>71</v>
      </c>
      <c r="F79" s="3">
        <f t="shared" si="0"/>
        <v>2</v>
      </c>
      <c r="G79" s="3" t="s">
        <v>72</v>
      </c>
      <c r="H79" s="3">
        <f t="shared" si="1"/>
        <v>2</v>
      </c>
      <c r="I79" s="3" t="s">
        <v>73</v>
      </c>
      <c r="J79" s="3" t="s">
        <v>74</v>
      </c>
      <c r="K79" s="3" t="s">
        <v>127</v>
      </c>
      <c r="M79" s="3" t="s">
        <v>97</v>
      </c>
      <c r="N79" s="3" t="s">
        <v>98</v>
      </c>
      <c r="O79" s="3" t="s">
        <v>78</v>
      </c>
      <c r="P79" s="3" t="s">
        <v>79</v>
      </c>
      <c r="Q79" s="3" t="s">
        <v>496</v>
      </c>
      <c r="S79" s="18">
        <v>2.72</v>
      </c>
      <c r="T79" s="18">
        <v>-4.8899999999999997</v>
      </c>
      <c r="U79" s="18">
        <v>5.67</v>
      </c>
      <c r="V79" s="3" t="s">
        <v>129</v>
      </c>
      <c r="AC79" s="3" t="s">
        <v>81</v>
      </c>
      <c r="AD79" s="6">
        <v>34.955080000000002</v>
      </c>
      <c r="AE79" s="6">
        <v>-97.268405999999999</v>
      </c>
      <c r="AH79" s="3">
        <v>2002</v>
      </c>
      <c r="AI79" s="3">
        <v>3</v>
      </c>
      <c r="AJ79" s="8">
        <v>1</v>
      </c>
      <c r="AK79" s="3">
        <v>2002</v>
      </c>
      <c r="AL79" s="3">
        <v>3</v>
      </c>
      <c r="AN79" s="29">
        <v>20</v>
      </c>
      <c r="AY79" s="3">
        <v>61.463188261191398</v>
      </c>
      <c r="AZ79" s="3" t="s">
        <v>89</v>
      </c>
      <c r="BA79" s="3" t="s">
        <v>497</v>
      </c>
      <c r="BC79" s="3" t="s">
        <v>498</v>
      </c>
      <c r="BD79" s="8">
        <v>0</v>
      </c>
    </row>
    <row r="80" spans="1:56" ht="14.25" customHeight="1" thickBot="1">
      <c r="A80" s="3" t="s">
        <v>499</v>
      </c>
      <c r="B80" s="3" t="s">
        <v>312</v>
      </c>
      <c r="C80" s="3" t="s">
        <v>500</v>
      </c>
      <c r="E80" s="3" t="s">
        <v>71</v>
      </c>
      <c r="F80" s="3">
        <f t="shared" si="0"/>
        <v>2</v>
      </c>
      <c r="G80" s="3" t="s">
        <v>72</v>
      </c>
      <c r="H80" s="3">
        <f t="shared" si="1"/>
        <v>2</v>
      </c>
      <c r="I80" s="3" t="s">
        <v>73</v>
      </c>
      <c r="J80" s="3" t="s">
        <v>74</v>
      </c>
      <c r="K80" s="3" t="s">
        <v>75</v>
      </c>
      <c r="M80" s="3" t="s">
        <v>97</v>
      </c>
      <c r="N80" s="3" t="s">
        <v>98</v>
      </c>
      <c r="O80" s="3" t="s">
        <v>78</v>
      </c>
      <c r="P80" s="3" t="s">
        <v>79</v>
      </c>
      <c r="Q80" s="3" t="s">
        <v>501</v>
      </c>
      <c r="S80" s="18">
        <v>3.07</v>
      </c>
      <c r="T80" s="18">
        <v>9.08</v>
      </c>
      <c r="U80" s="18">
        <v>28.55</v>
      </c>
      <c r="AC80" s="3" t="s">
        <v>81</v>
      </c>
      <c r="AD80" s="13">
        <v>34.740229999999997</v>
      </c>
      <c r="AE80" s="11">
        <v>-101.8552</v>
      </c>
      <c r="AH80" s="3">
        <v>2002</v>
      </c>
      <c r="AI80" s="3">
        <v>5</v>
      </c>
      <c r="AJ80" s="8">
        <v>5</v>
      </c>
      <c r="AK80" s="3">
        <v>2002</v>
      </c>
      <c r="AL80" s="3">
        <v>5</v>
      </c>
      <c r="AM80" s="3">
        <v>5</v>
      </c>
      <c r="AN80" s="29">
        <v>2</v>
      </c>
      <c r="AO80" s="3">
        <v>3</v>
      </c>
      <c r="AP80" s="3">
        <v>150</v>
      </c>
      <c r="AQ80" s="3">
        <v>30</v>
      </c>
      <c r="AR80" s="3">
        <v>183</v>
      </c>
      <c r="AY80" s="3">
        <v>61.463188261191398</v>
      </c>
      <c r="AZ80" s="3" t="s">
        <v>82</v>
      </c>
      <c r="BB80" s="3" t="s">
        <v>502</v>
      </c>
      <c r="BC80" s="3" t="s">
        <v>503</v>
      </c>
      <c r="BD80" s="8">
        <v>3</v>
      </c>
    </row>
    <row r="81" spans="1:56" ht="14.25" customHeight="1" thickBot="1">
      <c r="A81" s="3" t="s">
        <v>504</v>
      </c>
      <c r="B81" s="3" t="s">
        <v>312</v>
      </c>
      <c r="C81" s="3" t="s">
        <v>505</v>
      </c>
      <c r="E81" s="3" t="s">
        <v>71</v>
      </c>
      <c r="F81" s="3">
        <f t="shared" si="0"/>
        <v>2</v>
      </c>
      <c r="G81" s="3" t="s">
        <v>72</v>
      </c>
      <c r="H81" s="3">
        <f t="shared" si="1"/>
        <v>2</v>
      </c>
      <c r="I81" s="3" t="s">
        <v>73</v>
      </c>
      <c r="J81" s="3" t="s">
        <v>74</v>
      </c>
      <c r="K81" s="3" t="s">
        <v>75</v>
      </c>
      <c r="M81" s="3" t="s">
        <v>97</v>
      </c>
      <c r="N81" s="3" t="s">
        <v>98</v>
      </c>
      <c r="O81" s="3" t="s">
        <v>78</v>
      </c>
      <c r="P81" s="3" t="s">
        <v>79</v>
      </c>
      <c r="Q81" s="3" t="s">
        <v>506</v>
      </c>
      <c r="S81" s="18">
        <v>9.32</v>
      </c>
      <c r="T81" s="18">
        <v>12.74</v>
      </c>
      <c r="U81" s="18">
        <v>24.83</v>
      </c>
      <c r="AC81" s="3" t="s">
        <v>81</v>
      </c>
      <c r="AD81" s="14">
        <v>38.344270999999999</v>
      </c>
      <c r="AE81" s="11">
        <v>-88.590783999999999</v>
      </c>
      <c r="AH81" s="3">
        <v>2002</v>
      </c>
      <c r="AI81" s="3">
        <v>4</v>
      </c>
      <c r="AJ81" s="8">
        <v>21</v>
      </c>
      <c r="AK81" s="3">
        <v>2002</v>
      </c>
      <c r="AL81" s="3">
        <v>4</v>
      </c>
      <c r="AM81" s="3">
        <v>21</v>
      </c>
      <c r="AN81" s="29">
        <v>1</v>
      </c>
      <c r="AO81" s="3">
        <v>12</v>
      </c>
      <c r="AR81" s="3">
        <v>12</v>
      </c>
      <c r="AW81" s="3">
        <v>4000</v>
      </c>
      <c r="AX81" s="3">
        <v>6508</v>
      </c>
      <c r="AY81" s="3">
        <v>61.463188261191398</v>
      </c>
      <c r="AZ81" s="3" t="s">
        <v>82</v>
      </c>
      <c r="BB81" s="3" t="s">
        <v>507</v>
      </c>
      <c r="BC81" s="3" t="s">
        <v>508</v>
      </c>
      <c r="BD81" s="8">
        <v>2</v>
      </c>
    </row>
    <row r="82" spans="1:56" ht="14.25" customHeight="1" thickBot="1">
      <c r="A82" s="3" t="s">
        <v>509</v>
      </c>
      <c r="B82" s="3" t="s">
        <v>312</v>
      </c>
      <c r="C82" s="3" t="s">
        <v>510</v>
      </c>
      <c r="E82" s="3" t="s">
        <v>71</v>
      </c>
      <c r="F82" s="3">
        <f t="shared" si="0"/>
        <v>2</v>
      </c>
      <c r="G82" s="3" t="s">
        <v>72</v>
      </c>
      <c r="H82" s="3">
        <f t="shared" si="1"/>
        <v>2</v>
      </c>
      <c r="I82" s="3" t="s">
        <v>73</v>
      </c>
      <c r="J82" s="3" t="s">
        <v>74</v>
      </c>
      <c r="K82" s="3" t="s">
        <v>75</v>
      </c>
      <c r="M82" s="3" t="s">
        <v>97</v>
      </c>
      <c r="N82" s="3" t="s">
        <v>98</v>
      </c>
      <c r="O82" s="3" t="s">
        <v>78</v>
      </c>
      <c r="P82" s="3" t="s">
        <v>79</v>
      </c>
      <c r="Q82" s="3" t="s">
        <v>511</v>
      </c>
      <c r="S82" s="18">
        <v>52.17</v>
      </c>
      <c r="T82" s="18">
        <v>6.69</v>
      </c>
      <c r="U82" s="18">
        <v>21.19</v>
      </c>
      <c r="Z82" s="3" t="s">
        <v>264</v>
      </c>
      <c r="AB82" s="3">
        <v>290</v>
      </c>
      <c r="AC82" s="3" t="s">
        <v>81</v>
      </c>
      <c r="AD82" s="6">
        <v>37.740639999999999</v>
      </c>
      <c r="AE82" s="6">
        <v>-86.410934999999995</v>
      </c>
      <c r="AH82" s="3">
        <v>2002</v>
      </c>
      <c r="AI82" s="3">
        <v>4</v>
      </c>
      <c r="AJ82" s="8">
        <v>27</v>
      </c>
      <c r="AK82" s="3">
        <v>2002</v>
      </c>
      <c r="AL82" s="3">
        <v>5</v>
      </c>
      <c r="AM82" s="3">
        <v>3</v>
      </c>
      <c r="AN82" s="29">
        <v>10</v>
      </c>
      <c r="AO82" s="3">
        <v>100</v>
      </c>
      <c r="AR82" s="3">
        <v>100</v>
      </c>
      <c r="AU82" s="3">
        <v>2000500</v>
      </c>
      <c r="AV82" s="3">
        <v>3254794</v>
      </c>
      <c r="AW82" s="3">
        <v>2200000</v>
      </c>
      <c r="AX82" s="3">
        <v>3579378</v>
      </c>
      <c r="AY82" s="3">
        <v>61.463188261191398</v>
      </c>
      <c r="AZ82" s="3" t="s">
        <v>82</v>
      </c>
      <c r="BB82" s="3" t="s">
        <v>512</v>
      </c>
      <c r="BC82" s="3" t="s">
        <v>513</v>
      </c>
      <c r="BD82" s="8">
        <v>3</v>
      </c>
    </row>
    <row r="83" spans="1:56" ht="14.25" customHeight="1" thickBot="1">
      <c r="A83" s="3" t="s">
        <v>514</v>
      </c>
      <c r="B83" s="3" t="s">
        <v>312</v>
      </c>
      <c r="C83" s="3" t="s">
        <v>515</v>
      </c>
      <c r="E83" s="3" t="s">
        <v>71</v>
      </c>
      <c r="F83" s="3">
        <f t="shared" si="0"/>
        <v>2</v>
      </c>
      <c r="G83" s="3" t="s">
        <v>72</v>
      </c>
      <c r="H83" s="3">
        <f t="shared" si="1"/>
        <v>2</v>
      </c>
      <c r="I83" s="3" t="s">
        <v>73</v>
      </c>
      <c r="J83" s="3" t="s">
        <v>74</v>
      </c>
      <c r="K83" s="3" t="s">
        <v>75</v>
      </c>
      <c r="M83" s="3" t="s">
        <v>97</v>
      </c>
      <c r="N83" s="3" t="s">
        <v>98</v>
      </c>
      <c r="O83" s="3" t="s">
        <v>78</v>
      </c>
      <c r="P83" s="3" t="s">
        <v>79</v>
      </c>
      <c r="Q83" s="3" t="s">
        <v>516</v>
      </c>
      <c r="S83" s="18">
        <v>34.71</v>
      </c>
      <c r="T83" s="18">
        <v>12.59</v>
      </c>
      <c r="U83" s="18">
        <v>23.28</v>
      </c>
      <c r="AC83" s="3" t="s">
        <v>81</v>
      </c>
      <c r="AD83" s="5">
        <v>45.456786812159301</v>
      </c>
      <c r="AE83" s="17">
        <v>-91.101972772698105</v>
      </c>
      <c r="AH83" s="3">
        <v>2002</v>
      </c>
      <c r="AI83" s="3">
        <v>9</v>
      </c>
      <c r="AJ83" s="8">
        <v>5</v>
      </c>
      <c r="AK83" s="3">
        <v>2002</v>
      </c>
      <c r="AL83" s="3">
        <v>9</v>
      </c>
      <c r="AM83" s="3">
        <v>5</v>
      </c>
      <c r="AN83" s="29">
        <v>0</v>
      </c>
      <c r="AO83" s="3">
        <v>36</v>
      </c>
      <c r="AP83" s="3">
        <v>450</v>
      </c>
      <c r="AQ83" s="3">
        <v>51</v>
      </c>
      <c r="AR83" s="3">
        <v>537</v>
      </c>
      <c r="AW83" s="3">
        <v>20000</v>
      </c>
      <c r="AX83" s="3">
        <v>32540</v>
      </c>
      <c r="AY83" s="3">
        <v>61.463188261191398</v>
      </c>
      <c r="AZ83" s="3" t="s">
        <v>82</v>
      </c>
      <c r="BB83" s="3" t="s">
        <v>517</v>
      </c>
      <c r="BC83" s="3" t="s">
        <v>518</v>
      </c>
      <c r="BD83" s="8">
        <v>3</v>
      </c>
    </row>
    <row r="84" spans="1:56" ht="14.25" customHeight="1" thickBot="1">
      <c r="A84" s="3" t="s">
        <v>519</v>
      </c>
      <c r="B84" s="3" t="s">
        <v>312</v>
      </c>
      <c r="C84" s="3" t="s">
        <v>520</v>
      </c>
      <c r="E84" s="3" t="s">
        <v>71</v>
      </c>
      <c r="F84" s="3">
        <f t="shared" si="0"/>
        <v>2</v>
      </c>
      <c r="G84" s="3" t="s">
        <v>72</v>
      </c>
      <c r="H84" s="3">
        <f t="shared" si="1"/>
        <v>2</v>
      </c>
      <c r="I84" s="3" t="s">
        <v>73</v>
      </c>
      <c r="J84" s="3" t="s">
        <v>74</v>
      </c>
      <c r="K84" s="3" t="s">
        <v>75</v>
      </c>
      <c r="M84" s="3" t="s">
        <v>97</v>
      </c>
      <c r="N84" s="3" t="s">
        <v>98</v>
      </c>
      <c r="O84" s="3" t="s">
        <v>78</v>
      </c>
      <c r="P84" s="3" t="s">
        <v>79</v>
      </c>
      <c r="Q84" s="3" t="s">
        <v>521</v>
      </c>
      <c r="S84" s="18">
        <v>9.17</v>
      </c>
      <c r="T84" s="18">
        <v>0.78</v>
      </c>
      <c r="U84" s="18">
        <v>5.87</v>
      </c>
      <c r="AB84" s="3">
        <v>200</v>
      </c>
      <c r="AC84" s="3" t="s">
        <v>81</v>
      </c>
      <c r="AD84" s="6">
        <v>40.289920000000002</v>
      </c>
      <c r="AE84" s="6">
        <v>-86.058441999999999</v>
      </c>
      <c r="AH84" s="3">
        <v>2002</v>
      </c>
      <c r="AI84" s="3">
        <v>11</v>
      </c>
      <c r="AJ84" s="8">
        <v>5</v>
      </c>
      <c r="AK84" s="3">
        <v>2002</v>
      </c>
      <c r="AL84" s="3">
        <v>11</v>
      </c>
      <c r="AM84" s="3">
        <v>10</v>
      </c>
      <c r="AN84" s="29">
        <v>36</v>
      </c>
      <c r="AO84" s="3">
        <v>115</v>
      </c>
      <c r="AP84" s="3">
        <v>3600</v>
      </c>
      <c r="AQ84" s="3">
        <v>351</v>
      </c>
      <c r="AR84" s="3">
        <v>4066</v>
      </c>
      <c r="AU84" s="3">
        <v>450500</v>
      </c>
      <c r="AV84" s="3">
        <v>732959</v>
      </c>
      <c r="AW84" s="3">
        <v>700000</v>
      </c>
      <c r="AX84" s="3">
        <v>1138893</v>
      </c>
      <c r="AY84" s="3">
        <v>61.463188261191398</v>
      </c>
      <c r="AZ84" s="3" t="s">
        <v>82</v>
      </c>
      <c r="BB84" s="3" t="s">
        <v>522</v>
      </c>
      <c r="BC84" s="3" t="s">
        <v>523</v>
      </c>
      <c r="BD84" s="8">
        <v>4</v>
      </c>
    </row>
    <row r="85" spans="1:56" ht="14.25" customHeight="1" thickBot="1">
      <c r="A85" s="3" t="s">
        <v>524</v>
      </c>
      <c r="B85" s="3" t="s">
        <v>312</v>
      </c>
      <c r="C85" s="3" t="s">
        <v>525</v>
      </c>
      <c r="E85" s="3" t="s">
        <v>71</v>
      </c>
      <c r="F85" s="3">
        <f t="shared" si="0"/>
        <v>2</v>
      </c>
      <c r="G85" s="3" t="s">
        <v>72</v>
      </c>
      <c r="H85" s="3">
        <f t="shared" si="1"/>
        <v>2</v>
      </c>
      <c r="I85" s="3" t="s">
        <v>73</v>
      </c>
      <c r="J85" s="3" t="s">
        <v>74</v>
      </c>
      <c r="K85" s="3" t="s">
        <v>127</v>
      </c>
      <c r="M85" s="3" t="s">
        <v>97</v>
      </c>
      <c r="N85" s="3" t="s">
        <v>98</v>
      </c>
      <c r="O85" s="3" t="s">
        <v>78</v>
      </c>
      <c r="P85" s="3" t="s">
        <v>79</v>
      </c>
      <c r="Q85" s="3" t="s">
        <v>526</v>
      </c>
      <c r="S85" s="18">
        <v>0</v>
      </c>
      <c r="T85" s="18">
        <v>-8.84</v>
      </c>
      <c r="U85" s="18">
        <v>0.93</v>
      </c>
      <c r="AC85" s="3" t="s">
        <v>81</v>
      </c>
      <c r="AD85" s="6">
        <v>38.895040000000002</v>
      </c>
      <c r="AE85" s="6">
        <v>-77.036542999999995</v>
      </c>
      <c r="AH85" s="3">
        <v>2002</v>
      </c>
      <c r="AI85" s="3">
        <v>12</v>
      </c>
      <c r="AJ85" s="8">
        <v>4</v>
      </c>
      <c r="AK85" s="3">
        <v>2002</v>
      </c>
      <c r="AL85" s="3">
        <v>12</v>
      </c>
      <c r="AM85" s="3">
        <v>5</v>
      </c>
      <c r="AN85" s="29">
        <v>30</v>
      </c>
      <c r="AU85" s="3">
        <v>450500</v>
      </c>
      <c r="AV85" s="3">
        <v>732959</v>
      </c>
      <c r="AW85" s="3">
        <v>450500</v>
      </c>
      <c r="AX85" s="3">
        <v>732959</v>
      </c>
      <c r="AY85" s="3">
        <v>61.463188261191398</v>
      </c>
      <c r="AZ85" s="3" t="s">
        <v>206</v>
      </c>
      <c r="BA85" s="3" t="s">
        <v>527</v>
      </c>
      <c r="BB85" s="3" t="s">
        <v>528</v>
      </c>
      <c r="BC85" s="3" t="s">
        <v>529</v>
      </c>
      <c r="BD85" s="8">
        <v>0</v>
      </c>
    </row>
    <row r="86" spans="1:56" ht="14.25" customHeight="1" thickBot="1">
      <c r="A86" s="3" t="s">
        <v>530</v>
      </c>
      <c r="B86" s="3" t="s">
        <v>312</v>
      </c>
      <c r="C86" s="3" t="s">
        <v>531</v>
      </c>
      <c r="E86" s="3" t="s">
        <v>71</v>
      </c>
      <c r="F86" s="3">
        <f t="shared" si="0"/>
        <v>2</v>
      </c>
      <c r="G86" s="3" t="s">
        <v>72</v>
      </c>
      <c r="H86" s="3">
        <f t="shared" si="1"/>
        <v>2</v>
      </c>
      <c r="I86" s="3" t="s">
        <v>73</v>
      </c>
      <c r="J86" s="3" t="s">
        <v>74</v>
      </c>
      <c r="K86" s="3" t="s">
        <v>127</v>
      </c>
      <c r="M86" s="3" t="s">
        <v>97</v>
      </c>
      <c r="N86" s="3" t="s">
        <v>98</v>
      </c>
      <c r="O86" s="3" t="s">
        <v>78</v>
      </c>
      <c r="P86" s="3" t="s">
        <v>79</v>
      </c>
      <c r="Q86" s="3" t="s">
        <v>532</v>
      </c>
      <c r="S86" s="18">
        <v>21.01</v>
      </c>
      <c r="T86" s="18">
        <v>-3.92</v>
      </c>
      <c r="U86" s="18">
        <v>2.31</v>
      </c>
      <c r="AC86" s="3" t="s">
        <v>81</v>
      </c>
      <c r="AD86" s="6">
        <v>34.955080000000002</v>
      </c>
      <c r="AE86" s="6">
        <v>-97.268405999999999</v>
      </c>
      <c r="AH86" s="3">
        <v>2002</v>
      </c>
      <c r="AI86" s="3">
        <v>12</v>
      </c>
      <c r="AJ86" s="8">
        <v>23</v>
      </c>
      <c r="AK86" s="3">
        <v>2002</v>
      </c>
      <c r="AL86" s="3">
        <v>12</v>
      </c>
      <c r="AM86" s="3">
        <v>23</v>
      </c>
      <c r="AN86" s="29">
        <v>18</v>
      </c>
      <c r="AY86" s="3">
        <v>61.463188261191398</v>
      </c>
      <c r="AZ86" s="3" t="s">
        <v>89</v>
      </c>
      <c r="BA86" s="3" t="s">
        <v>533</v>
      </c>
      <c r="BC86" s="3" t="s">
        <v>534</v>
      </c>
      <c r="BD86" s="8">
        <v>0</v>
      </c>
    </row>
    <row r="87" spans="1:56" ht="14.25" customHeight="1" thickBot="1">
      <c r="A87" s="3" t="s">
        <v>535</v>
      </c>
      <c r="B87" s="3" t="s">
        <v>312</v>
      </c>
      <c r="C87" s="3" t="s">
        <v>536</v>
      </c>
      <c r="E87" s="3" t="s">
        <v>71</v>
      </c>
      <c r="F87" s="3">
        <f t="shared" si="0"/>
        <v>1</v>
      </c>
      <c r="G87" s="3" t="s">
        <v>94</v>
      </c>
      <c r="H87" s="3">
        <f t="shared" si="1"/>
        <v>1</v>
      </c>
      <c r="I87" s="3" t="s">
        <v>95</v>
      </c>
      <c r="J87" s="3" t="s">
        <v>96</v>
      </c>
      <c r="M87" s="3" t="s">
        <v>97</v>
      </c>
      <c r="N87" s="3" t="s">
        <v>98</v>
      </c>
      <c r="O87" s="3" t="s">
        <v>78</v>
      </c>
      <c r="P87" s="3" t="s">
        <v>79</v>
      </c>
      <c r="Q87" s="3" t="s">
        <v>537</v>
      </c>
      <c r="R87" s="3" t="s">
        <v>100</v>
      </c>
      <c r="S87" s="18">
        <v>42.51</v>
      </c>
      <c r="T87" s="18">
        <v>9.57</v>
      </c>
      <c r="U87" s="18">
        <v>19.03</v>
      </c>
      <c r="AB87" s="3">
        <v>35390</v>
      </c>
      <c r="AC87" s="3" t="s">
        <v>102</v>
      </c>
      <c r="AD87" s="6">
        <v>35.773009999999999</v>
      </c>
      <c r="AE87" s="6">
        <v>-86.282008000000005</v>
      </c>
      <c r="AG87" s="3" t="s">
        <v>538</v>
      </c>
      <c r="AH87" s="3">
        <v>2002</v>
      </c>
      <c r="AI87" s="3">
        <v>3</v>
      </c>
      <c r="AJ87" s="8">
        <v>17</v>
      </c>
      <c r="AK87" s="3">
        <v>2002</v>
      </c>
      <c r="AL87" s="3">
        <v>3</v>
      </c>
      <c r="AM87" s="3">
        <v>24</v>
      </c>
      <c r="AN87" s="29">
        <v>7</v>
      </c>
      <c r="AY87" s="3">
        <v>61.463188261191398</v>
      </c>
      <c r="AZ87" s="3" t="s">
        <v>89</v>
      </c>
      <c r="BA87" s="3" t="s">
        <v>539</v>
      </c>
      <c r="BC87" s="3" t="s">
        <v>540</v>
      </c>
      <c r="BD87" s="8">
        <v>0</v>
      </c>
    </row>
    <row r="88" spans="1:56" ht="14.25" customHeight="1" thickBot="1">
      <c r="A88" s="3" t="s">
        <v>541</v>
      </c>
      <c r="B88" s="3" t="s">
        <v>312</v>
      </c>
      <c r="C88" s="3" t="s">
        <v>341</v>
      </c>
      <c r="E88" s="3" t="s">
        <v>71</v>
      </c>
      <c r="F88" s="3">
        <f t="shared" si="0"/>
        <v>1</v>
      </c>
      <c r="G88" s="3" t="s">
        <v>94</v>
      </c>
      <c r="H88" s="3">
        <f t="shared" si="1"/>
        <v>1</v>
      </c>
      <c r="I88" s="3" t="s">
        <v>95</v>
      </c>
      <c r="J88" s="3" t="s">
        <v>96</v>
      </c>
      <c r="M88" s="3" t="s">
        <v>97</v>
      </c>
      <c r="N88" s="3" t="s">
        <v>98</v>
      </c>
      <c r="O88" s="3" t="s">
        <v>78</v>
      </c>
      <c r="P88" s="3" t="s">
        <v>79</v>
      </c>
      <c r="Q88" s="3" t="s">
        <v>542</v>
      </c>
      <c r="R88" s="3" t="s">
        <v>100</v>
      </c>
      <c r="S88" s="18">
        <v>60</v>
      </c>
      <c r="T88" s="18">
        <v>10.31</v>
      </c>
      <c r="U88" s="18">
        <v>24.66</v>
      </c>
      <c r="AC88" s="3" t="s">
        <v>102</v>
      </c>
      <c r="AD88" s="5">
        <v>37.362169410257003</v>
      </c>
      <c r="AE88" s="17">
        <v>-82.311437543856201</v>
      </c>
      <c r="AG88" s="3" t="s">
        <v>543</v>
      </c>
      <c r="AH88" s="3">
        <v>2002</v>
      </c>
      <c r="AI88" s="3">
        <v>5</v>
      </c>
      <c r="AJ88" s="8">
        <v>2</v>
      </c>
      <c r="AK88" s="3">
        <v>2002</v>
      </c>
      <c r="AL88" s="3">
        <v>5</v>
      </c>
      <c r="AM88" s="3">
        <v>8</v>
      </c>
      <c r="AN88" s="29">
        <v>9</v>
      </c>
      <c r="AP88" s="3">
        <v>1000</v>
      </c>
      <c r="AR88" s="3">
        <v>1000</v>
      </c>
      <c r="AW88" s="3">
        <v>13000</v>
      </c>
      <c r="AX88" s="3">
        <v>21151</v>
      </c>
      <c r="AY88" s="3">
        <v>61.463188261191398</v>
      </c>
      <c r="AZ88" s="3" t="s">
        <v>206</v>
      </c>
      <c r="BA88" s="3" t="s">
        <v>350</v>
      </c>
      <c r="BB88" s="3" t="s">
        <v>544</v>
      </c>
      <c r="BC88" s="3" t="s">
        <v>545</v>
      </c>
      <c r="BD88" s="8">
        <v>4</v>
      </c>
    </row>
    <row r="89" spans="1:56" ht="14.25" customHeight="1" thickBot="1">
      <c r="A89" s="3" t="s">
        <v>546</v>
      </c>
      <c r="B89" s="3" t="s">
        <v>312</v>
      </c>
      <c r="C89" s="3" t="s">
        <v>547</v>
      </c>
      <c r="E89" s="3" t="s">
        <v>71</v>
      </c>
      <c r="F89" s="3">
        <f t="shared" si="0"/>
        <v>1</v>
      </c>
      <c r="G89" s="3" t="s">
        <v>94</v>
      </c>
      <c r="H89" s="3">
        <f t="shared" si="1"/>
        <v>1</v>
      </c>
      <c r="I89" s="3" t="s">
        <v>95</v>
      </c>
      <c r="J89" s="3" t="s">
        <v>96</v>
      </c>
      <c r="M89" s="3" t="s">
        <v>97</v>
      </c>
      <c r="N89" s="3" t="s">
        <v>98</v>
      </c>
      <c r="O89" s="3" t="s">
        <v>78</v>
      </c>
      <c r="P89" s="3" t="s">
        <v>79</v>
      </c>
      <c r="Q89" s="3" t="s">
        <v>548</v>
      </c>
      <c r="R89" s="3" t="s">
        <v>100</v>
      </c>
      <c r="S89" s="18">
        <v>47.58</v>
      </c>
      <c r="T89" s="18">
        <v>21.04</v>
      </c>
      <c r="U89" s="18">
        <v>27.61</v>
      </c>
      <c r="AB89" s="3">
        <v>108300</v>
      </c>
      <c r="AC89" s="3" t="s">
        <v>102</v>
      </c>
      <c r="AD89" s="6">
        <v>29.797969999999999</v>
      </c>
      <c r="AE89" s="6">
        <v>-98.269079000000005</v>
      </c>
      <c r="AG89" s="3" t="s">
        <v>549</v>
      </c>
      <c r="AH89" s="3">
        <v>2002</v>
      </c>
      <c r="AI89" s="3">
        <v>6</v>
      </c>
      <c r="AJ89" s="8">
        <v>30</v>
      </c>
      <c r="AK89" s="3">
        <v>2002</v>
      </c>
      <c r="AL89" s="3">
        <v>7</v>
      </c>
      <c r="AM89" s="3">
        <v>23</v>
      </c>
      <c r="AN89" s="29">
        <v>10</v>
      </c>
      <c r="AP89" s="3">
        <v>144000</v>
      </c>
      <c r="AR89" s="3">
        <v>144000</v>
      </c>
      <c r="AU89" s="3">
        <v>200500</v>
      </c>
      <c r="AV89" s="3">
        <v>326212</v>
      </c>
      <c r="AW89" s="3">
        <v>1000000</v>
      </c>
      <c r="AX89" s="3">
        <v>1626990</v>
      </c>
      <c r="AY89" s="3">
        <v>61.463188261191398</v>
      </c>
      <c r="AZ89" s="3" t="s">
        <v>82</v>
      </c>
      <c r="BB89" s="3" t="s">
        <v>550</v>
      </c>
      <c r="BC89" s="3" t="s">
        <v>551</v>
      </c>
      <c r="BD89" s="8">
        <v>6</v>
      </c>
    </row>
    <row r="90" spans="1:56" ht="14.25" customHeight="1" thickBot="1">
      <c r="A90" s="3" t="s">
        <v>552</v>
      </c>
      <c r="B90" s="3" t="s">
        <v>312</v>
      </c>
      <c r="C90" s="3" t="s">
        <v>553</v>
      </c>
      <c r="E90" s="3" t="s">
        <v>71</v>
      </c>
      <c r="F90" s="3">
        <f t="shared" si="0"/>
        <v>1</v>
      </c>
      <c r="G90" s="3" t="s">
        <v>94</v>
      </c>
      <c r="H90" s="3">
        <f t="shared" si="1"/>
        <v>1</v>
      </c>
      <c r="I90" s="3" t="s">
        <v>95</v>
      </c>
      <c r="J90" s="3" t="s">
        <v>96</v>
      </c>
      <c r="M90" s="3" t="s">
        <v>97</v>
      </c>
      <c r="N90" s="3" t="s">
        <v>98</v>
      </c>
      <c r="O90" s="3" t="s">
        <v>78</v>
      </c>
      <c r="P90" s="3" t="s">
        <v>79</v>
      </c>
      <c r="Q90" s="3" t="s">
        <v>554</v>
      </c>
      <c r="R90" s="3" t="s">
        <v>100</v>
      </c>
      <c r="S90" s="18">
        <v>0</v>
      </c>
      <c r="T90" s="18">
        <v>21.4</v>
      </c>
      <c r="U90" s="18">
        <v>30.22</v>
      </c>
      <c r="AB90" s="3">
        <v>5460</v>
      </c>
      <c r="AC90" s="3" t="s">
        <v>102</v>
      </c>
      <c r="AD90" s="19">
        <v>32.519305427218697</v>
      </c>
      <c r="AE90" s="17">
        <v>-83.290923648707107</v>
      </c>
      <c r="AH90" s="3">
        <v>2002</v>
      </c>
      <c r="AI90" s="3">
        <v>9</v>
      </c>
      <c r="AJ90" s="8">
        <v>21</v>
      </c>
      <c r="AK90" s="3">
        <v>2002</v>
      </c>
      <c r="AL90" s="3">
        <v>9</v>
      </c>
      <c r="AM90" s="3">
        <v>24</v>
      </c>
      <c r="AN90" s="29">
        <v>0</v>
      </c>
      <c r="AP90" s="3">
        <v>750</v>
      </c>
      <c r="AR90" s="3">
        <v>750</v>
      </c>
      <c r="AY90" s="3">
        <v>61.463188261191398</v>
      </c>
      <c r="AZ90" s="3" t="s">
        <v>89</v>
      </c>
      <c r="BA90" s="3" t="s">
        <v>555</v>
      </c>
      <c r="BC90" s="3" t="s">
        <v>556</v>
      </c>
      <c r="BD90" s="8">
        <v>3</v>
      </c>
    </row>
    <row r="91" spans="1:56" ht="14.25" customHeight="1" thickBot="1">
      <c r="A91" s="3" t="s">
        <v>557</v>
      </c>
      <c r="B91" s="3" t="s">
        <v>312</v>
      </c>
      <c r="C91" s="3" t="s">
        <v>211</v>
      </c>
      <c r="E91" s="3" t="s">
        <v>71</v>
      </c>
      <c r="F91" s="3">
        <f t="shared" si="0"/>
        <v>2</v>
      </c>
      <c r="G91" s="3" t="s">
        <v>72</v>
      </c>
      <c r="H91" s="3">
        <f t="shared" si="1"/>
        <v>2</v>
      </c>
      <c r="I91" s="3" t="s">
        <v>73</v>
      </c>
      <c r="J91" s="3" t="s">
        <v>212</v>
      </c>
      <c r="L91" s="3" t="s">
        <v>558</v>
      </c>
      <c r="M91" s="3" t="s">
        <v>97</v>
      </c>
      <c r="N91" s="3" t="s">
        <v>98</v>
      </c>
      <c r="O91" s="3" t="s">
        <v>78</v>
      </c>
      <c r="P91" s="3" t="s">
        <v>79</v>
      </c>
      <c r="Q91" s="3" t="s">
        <v>559</v>
      </c>
      <c r="S91" s="18">
        <v>7.14</v>
      </c>
      <c r="T91" s="18">
        <v>19.350000000000001</v>
      </c>
      <c r="U91" s="18">
        <v>23.53</v>
      </c>
      <c r="AB91" s="3">
        <v>105</v>
      </c>
      <c r="AC91" s="3" t="s">
        <v>81</v>
      </c>
      <c r="AD91" s="6">
        <v>30.87039</v>
      </c>
      <c r="AE91" s="6">
        <v>-92.007126</v>
      </c>
      <c r="AH91" s="3">
        <v>2002</v>
      </c>
      <c r="AI91" s="3">
        <v>9</v>
      </c>
      <c r="AJ91" s="8">
        <v>26</v>
      </c>
      <c r="AK91" s="3">
        <v>2002</v>
      </c>
      <c r="AL91" s="3">
        <v>9</v>
      </c>
      <c r="AM91" s="3">
        <v>27</v>
      </c>
      <c r="AN91" s="29">
        <v>1</v>
      </c>
      <c r="AP91" s="3">
        <v>13200</v>
      </c>
      <c r="AR91" s="3">
        <v>13200</v>
      </c>
      <c r="AU91" s="3">
        <v>200000</v>
      </c>
      <c r="AV91" s="3">
        <v>325398</v>
      </c>
      <c r="AW91" s="3">
        <v>300000</v>
      </c>
      <c r="AX91" s="3">
        <v>488097</v>
      </c>
      <c r="AY91" s="3">
        <v>61.463188261191398</v>
      </c>
      <c r="AZ91" s="3" t="s">
        <v>89</v>
      </c>
      <c r="BA91" s="3" t="s">
        <v>560</v>
      </c>
      <c r="BC91" s="3" t="s">
        <v>561</v>
      </c>
      <c r="BD91" s="8">
        <v>5</v>
      </c>
    </row>
    <row r="92" spans="1:56" ht="14.25" customHeight="1" thickBot="1">
      <c r="A92" s="3" t="s">
        <v>562</v>
      </c>
      <c r="B92" s="3" t="s">
        <v>312</v>
      </c>
      <c r="C92" s="3" t="s">
        <v>563</v>
      </c>
      <c r="E92" s="3" t="s">
        <v>71</v>
      </c>
      <c r="F92" s="3">
        <f t="shared" si="0"/>
        <v>2</v>
      </c>
      <c r="G92" s="3" t="s">
        <v>72</v>
      </c>
      <c r="H92" s="3">
        <f t="shared" si="1"/>
        <v>4</v>
      </c>
      <c r="I92" s="3" t="s">
        <v>219</v>
      </c>
      <c r="J92" s="3" t="s">
        <v>220</v>
      </c>
      <c r="M92" s="3" t="s">
        <v>97</v>
      </c>
      <c r="N92" s="3" t="s">
        <v>98</v>
      </c>
      <c r="O92" s="3" t="s">
        <v>78</v>
      </c>
      <c r="P92" s="3" t="s">
        <v>79</v>
      </c>
      <c r="Q92" s="3" t="s">
        <v>564</v>
      </c>
      <c r="S92" s="18">
        <v>0</v>
      </c>
      <c r="T92" s="18">
        <v>24.02</v>
      </c>
      <c r="U92" s="18">
        <v>41.99</v>
      </c>
      <c r="AC92" s="3" t="s">
        <v>222</v>
      </c>
      <c r="AD92" s="6">
        <v>33.058839999999996</v>
      </c>
      <c r="AE92" s="6">
        <v>-112.02217</v>
      </c>
      <c r="AH92" s="3">
        <v>2002</v>
      </c>
      <c r="AI92" s="3">
        <v>6</v>
      </c>
      <c r="AJ92" s="8">
        <v>1</v>
      </c>
      <c r="AK92" s="3">
        <v>2002</v>
      </c>
      <c r="AL92" s="3">
        <v>6</v>
      </c>
      <c r="AN92" s="29">
        <v>14</v>
      </c>
      <c r="AY92" s="3">
        <v>61.463188261191398</v>
      </c>
      <c r="AZ92" s="3" t="s">
        <v>89</v>
      </c>
      <c r="BA92" s="3" t="s">
        <v>565</v>
      </c>
      <c r="BC92" s="3" t="s">
        <v>566</v>
      </c>
      <c r="BD92" s="8">
        <v>0</v>
      </c>
    </row>
    <row r="93" spans="1:56" ht="14.25" customHeight="1" thickBot="1">
      <c r="A93" s="3" t="s">
        <v>567</v>
      </c>
      <c r="B93" s="3" t="s">
        <v>312</v>
      </c>
      <c r="C93" s="3" t="s">
        <v>568</v>
      </c>
      <c r="E93" s="3" t="s">
        <v>71</v>
      </c>
      <c r="F93" s="3">
        <f t="shared" si="0"/>
        <v>3</v>
      </c>
      <c r="G93" s="3" t="s">
        <v>119</v>
      </c>
      <c r="H93" s="3">
        <f t="shared" si="1"/>
        <v>3</v>
      </c>
      <c r="I93" s="3" t="s">
        <v>122</v>
      </c>
      <c r="J93" s="3" t="s">
        <v>227</v>
      </c>
      <c r="M93" s="3" t="s">
        <v>97</v>
      </c>
      <c r="N93" s="3" t="s">
        <v>98</v>
      </c>
      <c r="O93" s="3" t="s">
        <v>78</v>
      </c>
      <c r="P93" s="3" t="s">
        <v>79</v>
      </c>
      <c r="Q93" s="3" t="s">
        <v>569</v>
      </c>
      <c r="S93" s="18">
        <v>0</v>
      </c>
      <c r="T93" s="18">
        <v>11.13</v>
      </c>
      <c r="U93" s="18">
        <v>23.23</v>
      </c>
      <c r="AB93" s="3">
        <v>23</v>
      </c>
      <c r="AC93" s="3" t="s">
        <v>102</v>
      </c>
      <c r="AD93" s="19">
        <v>33.372599291987498</v>
      </c>
      <c r="AE93" s="17">
        <v>-117.23628566709699</v>
      </c>
      <c r="AH93" s="3">
        <v>2002</v>
      </c>
      <c r="AI93" s="3">
        <v>2</v>
      </c>
      <c r="AJ93" s="8">
        <v>10</v>
      </c>
      <c r="AK93" s="3">
        <v>2002</v>
      </c>
      <c r="AL93" s="3">
        <v>2</v>
      </c>
      <c r="AM93" s="3">
        <v>10</v>
      </c>
      <c r="AN93" s="29">
        <v>0</v>
      </c>
      <c r="AO93" s="3">
        <v>11</v>
      </c>
      <c r="AQ93" s="3">
        <v>123</v>
      </c>
      <c r="AR93" s="3">
        <v>134</v>
      </c>
      <c r="AW93" s="3">
        <v>6600</v>
      </c>
      <c r="AX93" s="3">
        <v>10738</v>
      </c>
      <c r="AY93" s="3">
        <v>61.463188261191398</v>
      </c>
      <c r="AZ93" s="3" t="s">
        <v>82</v>
      </c>
      <c r="BB93" s="3" t="s">
        <v>570</v>
      </c>
      <c r="BC93" s="3" t="s">
        <v>571</v>
      </c>
      <c r="BD93" s="8">
        <v>3</v>
      </c>
    </row>
    <row r="94" spans="1:56" ht="14.25" customHeight="1" thickBot="1">
      <c r="A94" s="3" t="s">
        <v>572</v>
      </c>
      <c r="B94" s="3" t="s">
        <v>312</v>
      </c>
      <c r="C94" s="3" t="s">
        <v>573</v>
      </c>
      <c r="E94" s="3" t="s">
        <v>71</v>
      </c>
      <c r="F94" s="3">
        <f t="shared" si="0"/>
        <v>3</v>
      </c>
      <c r="G94" s="3" t="s">
        <v>119</v>
      </c>
      <c r="H94" s="3">
        <f t="shared" si="1"/>
        <v>3</v>
      </c>
      <c r="I94" s="3" t="s">
        <v>122</v>
      </c>
      <c r="J94" s="3" t="s">
        <v>227</v>
      </c>
      <c r="M94" s="3" t="s">
        <v>97</v>
      </c>
      <c r="N94" s="3" t="s">
        <v>98</v>
      </c>
      <c r="O94" s="3" t="s">
        <v>78</v>
      </c>
      <c r="P94" s="3" t="s">
        <v>79</v>
      </c>
      <c r="Q94" s="3" t="s">
        <v>574</v>
      </c>
      <c r="S94" s="18">
        <v>0</v>
      </c>
      <c r="T94" s="18">
        <v>-2.16</v>
      </c>
      <c r="U94" s="18">
        <v>15.9</v>
      </c>
      <c r="AB94" s="3">
        <v>149</v>
      </c>
      <c r="AC94" s="3" t="s">
        <v>102</v>
      </c>
      <c r="AD94" s="5">
        <v>33.491454153621099</v>
      </c>
      <c r="AE94" s="17">
        <v>-105.38520201684599</v>
      </c>
      <c r="AH94" s="3">
        <v>2002</v>
      </c>
      <c r="AI94" s="3">
        <v>3</v>
      </c>
      <c r="AJ94" s="8">
        <v>1</v>
      </c>
      <c r="AK94" s="3">
        <v>2002</v>
      </c>
      <c r="AL94" s="3">
        <v>3</v>
      </c>
      <c r="AN94" s="29">
        <v>0</v>
      </c>
      <c r="AQ94" s="3">
        <v>1300</v>
      </c>
      <c r="AR94" s="3">
        <v>1300</v>
      </c>
      <c r="AW94" s="3">
        <v>5000</v>
      </c>
      <c r="AX94" s="3">
        <v>8135</v>
      </c>
      <c r="AY94" s="3">
        <v>61.463188261191398</v>
      </c>
      <c r="AZ94" s="3" t="s">
        <v>82</v>
      </c>
      <c r="BB94" s="3" t="s">
        <v>575</v>
      </c>
      <c r="BC94" s="3" t="s">
        <v>576</v>
      </c>
      <c r="BD94" s="8">
        <v>4</v>
      </c>
    </row>
    <row r="95" spans="1:56" ht="14.25" customHeight="1" thickBot="1">
      <c r="A95" s="3" t="s">
        <v>577</v>
      </c>
      <c r="B95" s="3" t="s">
        <v>312</v>
      </c>
      <c r="C95" s="3" t="s">
        <v>578</v>
      </c>
      <c r="E95" s="3" t="s">
        <v>71</v>
      </c>
      <c r="F95" s="3">
        <f t="shared" si="0"/>
        <v>3</v>
      </c>
      <c r="G95" s="3" t="s">
        <v>119</v>
      </c>
      <c r="H95" s="3">
        <f t="shared" si="1"/>
        <v>3</v>
      </c>
      <c r="I95" s="3" t="s">
        <v>122</v>
      </c>
      <c r="J95" s="3" t="s">
        <v>227</v>
      </c>
      <c r="M95" s="3" t="s">
        <v>97</v>
      </c>
      <c r="N95" s="3" t="s">
        <v>98</v>
      </c>
      <c r="O95" s="3" t="s">
        <v>78</v>
      </c>
      <c r="P95" s="3" t="s">
        <v>79</v>
      </c>
      <c r="Q95" s="3" t="s">
        <v>579</v>
      </c>
      <c r="S95" s="18">
        <v>0</v>
      </c>
      <c r="T95" s="18">
        <v>-4.25</v>
      </c>
      <c r="U95" s="18">
        <v>9.6300000000000008</v>
      </c>
      <c r="AB95" s="3">
        <v>414</v>
      </c>
      <c r="AC95" s="3" t="s">
        <v>102</v>
      </c>
      <c r="AD95" s="15">
        <v>61.19144</v>
      </c>
      <c r="AE95" s="11">
        <v>-149.55476999999999</v>
      </c>
      <c r="AH95" s="3">
        <v>2002</v>
      </c>
      <c r="AI95" s="3">
        <v>5</v>
      </c>
      <c r="AJ95" s="8">
        <v>1</v>
      </c>
      <c r="AK95" s="3">
        <v>2002</v>
      </c>
      <c r="AL95" s="3">
        <v>5</v>
      </c>
      <c r="AN95" s="29">
        <v>0</v>
      </c>
      <c r="AY95" s="3">
        <v>61.463188261191398</v>
      </c>
      <c r="AZ95" s="3" t="s">
        <v>89</v>
      </c>
      <c r="BA95" s="3" t="s">
        <v>580</v>
      </c>
      <c r="BC95" s="3" t="s">
        <v>581</v>
      </c>
      <c r="BD95" s="8">
        <v>0</v>
      </c>
    </row>
    <row r="96" spans="1:56" ht="14.25" customHeight="1" thickBot="1">
      <c r="A96" s="3" t="s">
        <v>582</v>
      </c>
      <c r="B96" s="3" t="s">
        <v>312</v>
      </c>
      <c r="C96" s="3" t="s">
        <v>389</v>
      </c>
      <c r="E96" s="3" t="s">
        <v>71</v>
      </c>
      <c r="F96" s="3">
        <f t="shared" si="0"/>
        <v>3</v>
      </c>
      <c r="G96" s="3" t="s">
        <v>119</v>
      </c>
      <c r="H96" s="3">
        <f t="shared" si="1"/>
        <v>3</v>
      </c>
      <c r="I96" s="3" t="s">
        <v>122</v>
      </c>
      <c r="J96" s="3" t="s">
        <v>227</v>
      </c>
      <c r="M96" s="3" t="s">
        <v>97</v>
      </c>
      <c r="N96" s="3" t="s">
        <v>98</v>
      </c>
      <c r="O96" s="3" t="s">
        <v>78</v>
      </c>
      <c r="P96" s="3" t="s">
        <v>79</v>
      </c>
      <c r="Q96" s="3" t="s">
        <v>583</v>
      </c>
      <c r="S96" s="18">
        <v>0</v>
      </c>
      <c r="T96" s="18">
        <v>10.8</v>
      </c>
      <c r="U96" s="18">
        <v>34.15</v>
      </c>
      <c r="AB96" s="3">
        <v>770</v>
      </c>
      <c r="AC96" s="3" t="s">
        <v>102</v>
      </c>
      <c r="AD96" s="6">
        <v>39.766800000000003</v>
      </c>
      <c r="AE96" s="6">
        <v>-105.014734</v>
      </c>
      <c r="AH96" s="3">
        <v>2002</v>
      </c>
      <c r="AI96" s="3">
        <v>6</v>
      </c>
      <c r="AJ96" s="8">
        <v>8</v>
      </c>
      <c r="AK96" s="3">
        <v>2002</v>
      </c>
      <c r="AL96" s="3">
        <v>6</v>
      </c>
      <c r="AM96" s="3">
        <v>8</v>
      </c>
      <c r="AN96" s="29">
        <v>0</v>
      </c>
      <c r="AP96" s="3">
        <v>1500</v>
      </c>
      <c r="AQ96" s="3">
        <v>72</v>
      </c>
      <c r="AR96" s="3">
        <v>1572</v>
      </c>
      <c r="AW96" s="3">
        <v>20000</v>
      </c>
      <c r="AX96" s="3">
        <v>32540</v>
      </c>
      <c r="AY96" s="3">
        <v>61.463188261191398</v>
      </c>
      <c r="AZ96" s="3" t="s">
        <v>89</v>
      </c>
      <c r="BA96" s="3" t="s">
        <v>584</v>
      </c>
      <c r="BC96" s="3" t="s">
        <v>585</v>
      </c>
      <c r="BD96" s="8">
        <v>4</v>
      </c>
    </row>
    <row r="97" spans="1:56" ht="14.25" customHeight="1" thickBot="1">
      <c r="A97" s="3" t="s">
        <v>586</v>
      </c>
      <c r="B97" s="3" t="s">
        <v>312</v>
      </c>
      <c r="C97" s="3" t="s">
        <v>587</v>
      </c>
      <c r="E97" s="3" t="s">
        <v>71</v>
      </c>
      <c r="F97" s="3">
        <f t="shared" si="0"/>
        <v>3</v>
      </c>
      <c r="G97" s="3" t="s">
        <v>119</v>
      </c>
      <c r="H97" s="3">
        <f t="shared" si="1"/>
        <v>3</v>
      </c>
      <c r="I97" s="3" t="s">
        <v>122</v>
      </c>
      <c r="J97" s="3" t="s">
        <v>227</v>
      </c>
      <c r="M97" s="3" t="s">
        <v>97</v>
      </c>
      <c r="N97" s="3" t="s">
        <v>98</v>
      </c>
      <c r="O97" s="3" t="s">
        <v>78</v>
      </c>
      <c r="P97" s="3" t="s">
        <v>79</v>
      </c>
      <c r="Q97" s="3" t="s">
        <v>564</v>
      </c>
      <c r="S97" s="18">
        <v>0</v>
      </c>
      <c r="T97" s="18">
        <v>21.4</v>
      </c>
      <c r="U97" s="18">
        <v>44.23</v>
      </c>
      <c r="AB97" s="3">
        <v>1320</v>
      </c>
      <c r="AC97" s="3" t="s">
        <v>102</v>
      </c>
      <c r="AD97" s="6">
        <v>33.058839999999996</v>
      </c>
      <c r="AE97" s="6">
        <v>-112.02217</v>
      </c>
      <c r="AH97" s="3">
        <v>2002</v>
      </c>
      <c r="AI97" s="3">
        <v>6</v>
      </c>
      <c r="AJ97" s="8">
        <v>20</v>
      </c>
      <c r="AK97" s="3">
        <v>2002</v>
      </c>
      <c r="AL97" s="3">
        <v>6</v>
      </c>
      <c r="AM97" s="3">
        <v>20</v>
      </c>
      <c r="AN97" s="29">
        <v>0</v>
      </c>
      <c r="AQ97" s="3">
        <v>1269</v>
      </c>
      <c r="AR97" s="3">
        <v>1269</v>
      </c>
      <c r="AW97" s="3">
        <v>200500</v>
      </c>
      <c r="AX97" s="3">
        <v>326212</v>
      </c>
      <c r="AY97" s="3">
        <v>61.463188261191398</v>
      </c>
      <c r="AZ97" s="3" t="s">
        <v>89</v>
      </c>
      <c r="BA97" s="3" t="s">
        <v>565</v>
      </c>
      <c r="BC97" s="3" t="s">
        <v>566</v>
      </c>
      <c r="BD97" s="8">
        <v>4</v>
      </c>
    </row>
    <row r="98" spans="1:56" ht="14.25" customHeight="1" thickBot="1">
      <c r="A98" s="3" t="s">
        <v>588</v>
      </c>
      <c r="B98" s="3" t="s">
        <v>312</v>
      </c>
      <c r="C98" s="3" t="s">
        <v>589</v>
      </c>
      <c r="E98" s="3" t="s">
        <v>71</v>
      </c>
      <c r="F98" s="3">
        <f t="shared" si="0"/>
        <v>3</v>
      </c>
      <c r="G98" s="3" t="s">
        <v>119</v>
      </c>
      <c r="H98" s="3">
        <f t="shared" si="1"/>
        <v>3</v>
      </c>
      <c r="I98" s="3" t="s">
        <v>122</v>
      </c>
      <c r="J98" s="3" t="s">
        <v>227</v>
      </c>
      <c r="M98" s="3" t="s">
        <v>97</v>
      </c>
      <c r="N98" s="3" t="s">
        <v>98</v>
      </c>
      <c r="O98" s="3" t="s">
        <v>78</v>
      </c>
      <c r="P98" s="3" t="s">
        <v>79</v>
      </c>
      <c r="Q98" s="3" t="s">
        <v>590</v>
      </c>
      <c r="S98" s="18">
        <v>0</v>
      </c>
      <c r="T98" s="18">
        <v>18.95</v>
      </c>
      <c r="U98" s="18">
        <v>39.229999999999997</v>
      </c>
      <c r="AB98" s="3">
        <v>93</v>
      </c>
      <c r="AC98" s="3" t="s">
        <v>102</v>
      </c>
      <c r="AD98" s="6">
        <v>34.096679999999999</v>
      </c>
      <c r="AE98" s="6">
        <v>-117.719779</v>
      </c>
      <c r="AH98" s="3">
        <v>2002</v>
      </c>
      <c r="AI98" s="3">
        <v>9</v>
      </c>
      <c r="AJ98" s="8">
        <v>22</v>
      </c>
      <c r="AK98" s="3">
        <v>2002</v>
      </c>
      <c r="AL98" s="3">
        <v>9</v>
      </c>
      <c r="AM98" s="3">
        <v>22</v>
      </c>
      <c r="AN98" s="29">
        <v>0</v>
      </c>
      <c r="AP98" s="3">
        <v>2000</v>
      </c>
      <c r="AQ98" s="3">
        <v>213</v>
      </c>
      <c r="AR98" s="3">
        <v>2213</v>
      </c>
      <c r="AY98" s="3">
        <v>61.463188261191398</v>
      </c>
      <c r="AZ98" s="3" t="s">
        <v>82</v>
      </c>
      <c r="BB98" s="3" t="s">
        <v>591</v>
      </c>
      <c r="BC98" s="3" t="s">
        <v>592</v>
      </c>
      <c r="BD98" s="8">
        <v>4</v>
      </c>
    </row>
    <row r="99" spans="1:56" ht="14.25" customHeight="1" thickBot="1">
      <c r="A99" s="3" t="s">
        <v>593</v>
      </c>
      <c r="B99" s="3" t="s">
        <v>312</v>
      </c>
      <c r="C99" s="3" t="s">
        <v>594</v>
      </c>
      <c r="E99" s="3" t="s">
        <v>71</v>
      </c>
      <c r="F99" s="3">
        <f t="shared" si="0"/>
        <v>3</v>
      </c>
      <c r="G99" s="3" t="s">
        <v>119</v>
      </c>
      <c r="H99" s="3">
        <f t="shared" si="1"/>
        <v>3</v>
      </c>
      <c r="I99" s="3" t="s">
        <v>122</v>
      </c>
      <c r="J99" s="3" t="s">
        <v>227</v>
      </c>
      <c r="M99" s="3" t="s">
        <v>97</v>
      </c>
      <c r="N99" s="3" t="s">
        <v>98</v>
      </c>
      <c r="O99" s="3" t="s">
        <v>78</v>
      </c>
      <c r="P99" s="3" t="s">
        <v>79</v>
      </c>
      <c r="Q99" s="3" t="s">
        <v>595</v>
      </c>
      <c r="S99" s="18">
        <v>0</v>
      </c>
      <c r="T99" s="18">
        <v>3.97</v>
      </c>
      <c r="U99" s="18">
        <v>25.56</v>
      </c>
      <c r="AB99" s="3">
        <v>2023</v>
      </c>
      <c r="AC99" s="3" t="s">
        <v>102</v>
      </c>
      <c r="AD99" s="10">
        <v>43.707380000000001</v>
      </c>
      <c r="AE99" s="11">
        <v>-120.632068</v>
      </c>
      <c r="AH99" s="3">
        <v>2002</v>
      </c>
      <c r="AI99" s="3">
        <v>7</v>
      </c>
      <c r="AJ99" s="8">
        <v>1</v>
      </c>
      <c r="AK99" s="3">
        <v>2002</v>
      </c>
      <c r="AL99" s="3">
        <v>7</v>
      </c>
      <c r="AN99" s="29">
        <v>0</v>
      </c>
      <c r="AY99" s="3">
        <v>61.463188261191398</v>
      </c>
      <c r="AZ99" s="3" t="s">
        <v>89</v>
      </c>
      <c r="BA99" s="3" t="s">
        <v>596</v>
      </c>
      <c r="BC99" s="3" t="s">
        <v>597</v>
      </c>
      <c r="BD99" s="8">
        <v>0</v>
      </c>
    </row>
    <row r="100" spans="1:56" ht="14.25" customHeight="1" thickBot="1">
      <c r="A100" s="3" t="s">
        <v>598</v>
      </c>
      <c r="B100" s="3" t="s">
        <v>312</v>
      </c>
      <c r="C100" s="3" t="s">
        <v>599</v>
      </c>
      <c r="E100" s="3" t="s">
        <v>71</v>
      </c>
      <c r="F100" s="3">
        <f t="shared" si="0"/>
        <v>3</v>
      </c>
      <c r="G100" s="3" t="s">
        <v>119</v>
      </c>
      <c r="H100" s="3">
        <f t="shared" si="1"/>
        <v>3</v>
      </c>
      <c r="I100" s="3" t="s">
        <v>122</v>
      </c>
      <c r="J100" s="3" t="s">
        <v>600</v>
      </c>
      <c r="M100" s="3" t="s">
        <v>97</v>
      </c>
      <c r="N100" s="3" t="s">
        <v>98</v>
      </c>
      <c r="O100" s="3" t="s">
        <v>78</v>
      </c>
      <c r="P100" s="3" t="s">
        <v>79</v>
      </c>
      <c r="Q100" s="3" t="s">
        <v>564</v>
      </c>
      <c r="S100" s="18">
        <v>0</v>
      </c>
      <c r="T100" s="18">
        <v>11.94</v>
      </c>
      <c r="U100" s="18">
        <v>34.549999999999997</v>
      </c>
      <c r="AB100" s="3">
        <v>145</v>
      </c>
      <c r="AC100" s="3" t="s">
        <v>102</v>
      </c>
      <c r="AD100" s="6">
        <v>33.058839999999996</v>
      </c>
      <c r="AE100" s="6">
        <v>-112.02217</v>
      </c>
      <c r="AH100" s="3">
        <v>2002</v>
      </c>
      <c r="AI100" s="3">
        <v>4</v>
      </c>
      <c r="AJ100" s="8">
        <v>1</v>
      </c>
      <c r="AK100" s="3">
        <v>2002</v>
      </c>
      <c r="AL100" s="3">
        <v>4</v>
      </c>
      <c r="AN100" s="29">
        <v>0</v>
      </c>
      <c r="AY100" s="3">
        <v>61.463188261191398</v>
      </c>
      <c r="AZ100" s="3" t="s">
        <v>89</v>
      </c>
      <c r="BA100" s="3" t="s">
        <v>565</v>
      </c>
      <c r="BC100" s="3" t="s">
        <v>566</v>
      </c>
      <c r="BD100" s="8">
        <v>0</v>
      </c>
    </row>
    <row r="101" spans="1:56" ht="14.25" customHeight="1" thickBot="1">
      <c r="A101" s="3" t="s">
        <v>601</v>
      </c>
      <c r="B101" s="3" t="s">
        <v>312</v>
      </c>
      <c r="C101" s="3" t="s">
        <v>278</v>
      </c>
      <c r="E101" s="3" t="s">
        <v>71</v>
      </c>
      <c r="F101" s="3">
        <f t="shared" si="0"/>
        <v>4</v>
      </c>
      <c r="G101" s="3" t="s">
        <v>305</v>
      </c>
      <c r="H101" s="3">
        <f t="shared" si="1"/>
        <v>5</v>
      </c>
      <c r="I101" s="3" t="s">
        <v>306</v>
      </c>
      <c r="J101" s="3" t="s">
        <v>324</v>
      </c>
      <c r="L101" s="3" t="s">
        <v>325</v>
      </c>
      <c r="M101" s="3" t="s">
        <v>97</v>
      </c>
      <c r="N101" s="3" t="s">
        <v>98</v>
      </c>
      <c r="O101" s="3" t="s">
        <v>78</v>
      </c>
      <c r="P101" s="3" t="s">
        <v>79</v>
      </c>
      <c r="Q101" s="3" t="s">
        <v>602</v>
      </c>
      <c r="S101" s="18">
        <v>0</v>
      </c>
      <c r="T101" s="18">
        <v>21.64</v>
      </c>
      <c r="U101" s="18">
        <v>33.71</v>
      </c>
      <c r="Y101" s="3" t="s">
        <v>327</v>
      </c>
      <c r="Z101" s="3" t="s">
        <v>327</v>
      </c>
      <c r="AC101" s="3" t="s">
        <v>310</v>
      </c>
      <c r="AD101" s="6">
        <v>33.258879999999998</v>
      </c>
      <c r="AE101" s="6">
        <v>-86.829533999999995</v>
      </c>
      <c r="AH101" s="3">
        <v>2002</v>
      </c>
      <c r="AI101" s="3">
        <v>7</v>
      </c>
      <c r="AJ101" s="8">
        <v>9</v>
      </c>
      <c r="AK101" s="3">
        <v>2002</v>
      </c>
      <c r="AL101" s="3">
        <v>11</v>
      </c>
      <c r="AM101" s="3">
        <v>26</v>
      </c>
      <c r="AN101" s="29">
        <v>214</v>
      </c>
      <c r="AP101" s="3">
        <v>3523</v>
      </c>
      <c r="AR101" s="3">
        <v>3523</v>
      </c>
      <c r="AY101" s="3">
        <v>61.463188261191398</v>
      </c>
      <c r="BD101" s="8">
        <v>4</v>
      </c>
    </row>
    <row r="102" spans="1:56" ht="14.25" customHeight="1" thickBot="1">
      <c r="A102" s="3" t="s">
        <v>603</v>
      </c>
      <c r="B102" s="3" t="s">
        <v>312</v>
      </c>
      <c r="C102" s="3" t="s">
        <v>329</v>
      </c>
      <c r="E102" s="3" t="s">
        <v>71</v>
      </c>
      <c r="F102" s="3">
        <f t="shared" si="0"/>
        <v>4</v>
      </c>
      <c r="G102" s="3" t="s">
        <v>305</v>
      </c>
      <c r="H102" s="3">
        <f t="shared" si="1"/>
        <v>5</v>
      </c>
      <c r="I102" s="3" t="s">
        <v>306</v>
      </c>
      <c r="J102" s="3" t="s">
        <v>324</v>
      </c>
      <c r="L102" s="3" t="s">
        <v>330</v>
      </c>
      <c r="M102" s="3" t="s">
        <v>97</v>
      </c>
      <c r="N102" s="3" t="s">
        <v>98</v>
      </c>
      <c r="O102" s="3" t="s">
        <v>78</v>
      </c>
      <c r="P102" s="3" t="s">
        <v>79</v>
      </c>
      <c r="Q102" s="3" t="s">
        <v>604</v>
      </c>
      <c r="S102" s="18">
        <v>0</v>
      </c>
      <c r="T102" s="18">
        <v>5.24</v>
      </c>
      <c r="U102" s="18">
        <v>17.649999999999999</v>
      </c>
      <c r="Y102" s="3" t="s">
        <v>327</v>
      </c>
      <c r="Z102" s="3" t="s">
        <v>327</v>
      </c>
      <c r="AC102" s="3" t="s">
        <v>310</v>
      </c>
      <c r="AD102" s="6">
        <v>33.258879999999998</v>
      </c>
      <c r="AE102" s="6">
        <v>-86.829533999999995</v>
      </c>
      <c r="AH102" s="3">
        <v>2003</v>
      </c>
      <c r="AI102" s="3">
        <v>2</v>
      </c>
      <c r="AJ102" s="8">
        <v>24</v>
      </c>
      <c r="AK102" s="3">
        <v>2003</v>
      </c>
      <c r="AL102" s="3">
        <v>7</v>
      </c>
      <c r="AM102" s="3">
        <v>13</v>
      </c>
      <c r="AN102" s="29">
        <v>0</v>
      </c>
      <c r="AP102" s="3">
        <v>29</v>
      </c>
      <c r="AR102" s="3">
        <v>29</v>
      </c>
      <c r="AY102" s="3">
        <v>61.463188261191398</v>
      </c>
      <c r="BD102" s="8">
        <v>2</v>
      </c>
    </row>
    <row r="103" spans="1:56" ht="14.25" customHeight="1" thickBot="1">
      <c r="A103" s="3" t="s">
        <v>605</v>
      </c>
      <c r="B103" s="3" t="s">
        <v>312</v>
      </c>
      <c r="C103" s="3" t="s">
        <v>606</v>
      </c>
      <c r="E103" s="3" t="s">
        <v>71</v>
      </c>
      <c r="F103" s="3">
        <f t="shared" si="0"/>
        <v>3</v>
      </c>
      <c r="G103" s="3" t="s">
        <v>119</v>
      </c>
      <c r="H103" s="3">
        <f t="shared" si="1"/>
        <v>7</v>
      </c>
      <c r="I103" s="3" t="s">
        <v>120</v>
      </c>
      <c r="J103" s="3" t="s">
        <v>120</v>
      </c>
      <c r="M103" s="3" t="s">
        <v>97</v>
      </c>
      <c r="N103" s="3" t="s">
        <v>98</v>
      </c>
      <c r="O103" s="3" t="s">
        <v>78</v>
      </c>
      <c r="P103" s="3" t="s">
        <v>79</v>
      </c>
      <c r="Q103" s="3" t="s">
        <v>450</v>
      </c>
      <c r="S103" s="18">
        <v>0</v>
      </c>
      <c r="T103" s="18">
        <v>21.37</v>
      </c>
      <c r="U103" s="18">
        <v>33.61</v>
      </c>
      <c r="AC103" s="3" t="s">
        <v>102</v>
      </c>
      <c r="AD103" s="6">
        <v>40.079659999999997</v>
      </c>
      <c r="AE103" s="6">
        <v>-89.433729</v>
      </c>
      <c r="AH103" s="3">
        <v>2002</v>
      </c>
      <c r="AI103" s="3">
        <v>7</v>
      </c>
      <c r="AJ103" s="8">
        <v>1</v>
      </c>
      <c r="AK103" s="3">
        <v>2002</v>
      </c>
      <c r="AL103" s="3">
        <v>8</v>
      </c>
      <c r="AN103" s="29">
        <v>0</v>
      </c>
      <c r="AW103" s="3">
        <v>3300000</v>
      </c>
      <c r="AX103" s="3">
        <v>5369067</v>
      </c>
      <c r="AY103" s="3">
        <v>61.463188261191398</v>
      </c>
      <c r="AZ103" s="3" t="s">
        <v>89</v>
      </c>
      <c r="BA103" s="3" t="s">
        <v>607</v>
      </c>
      <c r="BC103" s="3" t="s">
        <v>608</v>
      </c>
      <c r="BD103" s="8">
        <v>0</v>
      </c>
    </row>
    <row r="104" spans="1:56" ht="14.25" customHeight="1" thickBot="1">
      <c r="A104" s="3" t="s">
        <v>609</v>
      </c>
      <c r="B104" s="3" t="s">
        <v>312</v>
      </c>
      <c r="C104" s="3" t="s">
        <v>610</v>
      </c>
      <c r="E104" s="3" t="s">
        <v>71</v>
      </c>
      <c r="F104" s="3">
        <f t="shared" si="0"/>
        <v>2</v>
      </c>
      <c r="G104" s="3" t="s">
        <v>72</v>
      </c>
      <c r="H104" s="3">
        <f t="shared" si="1"/>
        <v>2</v>
      </c>
      <c r="I104" s="3" t="s">
        <v>73</v>
      </c>
      <c r="M104" s="3" t="s">
        <v>97</v>
      </c>
      <c r="N104" s="3" t="s">
        <v>98</v>
      </c>
      <c r="O104" s="3" t="s">
        <v>78</v>
      </c>
      <c r="P104" s="3" t="s">
        <v>79</v>
      </c>
      <c r="Q104" s="3" t="s">
        <v>611</v>
      </c>
      <c r="S104" s="18">
        <v>11</v>
      </c>
      <c r="T104" s="18">
        <v>0.53</v>
      </c>
      <c r="U104" s="18">
        <v>7.09</v>
      </c>
      <c r="AC104" s="3" t="s">
        <v>81</v>
      </c>
      <c r="AD104" s="6">
        <v>41.499659999999999</v>
      </c>
      <c r="AE104" s="6">
        <v>-81.693676999999994</v>
      </c>
      <c r="AH104" s="3">
        <v>2002</v>
      </c>
      <c r="AI104" s="3">
        <v>1</v>
      </c>
      <c r="AJ104" s="8">
        <v>30</v>
      </c>
      <c r="AK104" s="3">
        <v>2002</v>
      </c>
      <c r="AL104" s="3">
        <v>2</v>
      </c>
      <c r="AM104" s="3">
        <v>8</v>
      </c>
      <c r="AN104" s="29">
        <v>28</v>
      </c>
      <c r="AU104" s="3">
        <v>200500</v>
      </c>
      <c r="AV104" s="3">
        <v>326212</v>
      </c>
      <c r="AW104" s="3">
        <v>400000</v>
      </c>
      <c r="AX104" s="3">
        <v>650796</v>
      </c>
      <c r="AY104" s="3">
        <v>61.463188261191398</v>
      </c>
      <c r="AZ104" s="3" t="s">
        <v>206</v>
      </c>
      <c r="BA104" s="3" t="s">
        <v>612</v>
      </c>
      <c r="BB104" s="3" t="s">
        <v>613</v>
      </c>
      <c r="BC104" s="3" t="s">
        <v>614</v>
      </c>
      <c r="BD104" s="8">
        <v>0</v>
      </c>
    </row>
    <row r="105" spans="1:56" ht="14.25" customHeight="1" thickBot="1">
      <c r="A105" s="3" t="s">
        <v>615</v>
      </c>
      <c r="B105" s="3" t="s">
        <v>312</v>
      </c>
      <c r="C105" s="3" t="s">
        <v>616</v>
      </c>
      <c r="E105" s="3" t="s">
        <v>71</v>
      </c>
      <c r="F105" s="3">
        <f t="shared" si="0"/>
        <v>2</v>
      </c>
      <c r="G105" s="3" t="s">
        <v>72</v>
      </c>
      <c r="H105" s="3">
        <f t="shared" si="1"/>
        <v>2</v>
      </c>
      <c r="I105" s="3" t="s">
        <v>73</v>
      </c>
      <c r="M105" s="3" t="s">
        <v>97</v>
      </c>
      <c r="N105" s="3" t="s">
        <v>98</v>
      </c>
      <c r="O105" s="3" t="s">
        <v>78</v>
      </c>
      <c r="P105" s="3" t="s">
        <v>79</v>
      </c>
      <c r="Q105" s="3" t="s">
        <v>617</v>
      </c>
      <c r="S105" s="18">
        <v>49.32</v>
      </c>
      <c r="T105" s="18">
        <v>2.59</v>
      </c>
      <c r="U105" s="18">
        <v>9.2100000000000009</v>
      </c>
      <c r="AC105" s="3" t="s">
        <v>81</v>
      </c>
      <c r="AD105" s="6">
        <v>38.040909999999997</v>
      </c>
      <c r="AE105" s="6">
        <v>-122.619964</v>
      </c>
      <c r="AH105" s="3">
        <v>2002</v>
      </c>
      <c r="AI105" s="3">
        <v>12</v>
      </c>
      <c r="AJ105" s="8">
        <v>19</v>
      </c>
      <c r="AK105" s="3">
        <v>2002</v>
      </c>
      <c r="AL105" s="3">
        <v>12</v>
      </c>
      <c r="AM105" s="3">
        <v>19</v>
      </c>
      <c r="AN105" s="29">
        <v>13</v>
      </c>
      <c r="AY105" s="3">
        <v>61.463188261191398</v>
      </c>
      <c r="AZ105" s="3" t="s">
        <v>206</v>
      </c>
      <c r="BA105" s="3" t="s">
        <v>618</v>
      </c>
      <c r="BB105" s="3" t="s">
        <v>619</v>
      </c>
      <c r="BC105" s="3" t="s">
        <v>620</v>
      </c>
      <c r="BD105" s="8">
        <v>0</v>
      </c>
    </row>
    <row r="106" spans="1:56" ht="14.25" customHeight="1" thickBot="1">
      <c r="A106" s="3" t="s">
        <v>621</v>
      </c>
      <c r="B106" s="3" t="s">
        <v>312</v>
      </c>
      <c r="C106" s="3" t="s">
        <v>622</v>
      </c>
      <c r="E106" s="3" t="s">
        <v>71</v>
      </c>
      <c r="F106" s="3">
        <f t="shared" si="0"/>
        <v>2</v>
      </c>
      <c r="G106" s="3" t="s">
        <v>72</v>
      </c>
      <c r="H106" s="3">
        <f t="shared" si="1"/>
        <v>2</v>
      </c>
      <c r="I106" s="3" t="s">
        <v>73</v>
      </c>
      <c r="M106" s="3" t="s">
        <v>97</v>
      </c>
      <c r="N106" s="3" t="s">
        <v>98</v>
      </c>
      <c r="O106" s="3" t="s">
        <v>78</v>
      </c>
      <c r="P106" s="3" t="s">
        <v>79</v>
      </c>
      <c r="Q106" s="3" t="s">
        <v>623</v>
      </c>
      <c r="S106" s="18">
        <v>0</v>
      </c>
      <c r="T106" s="18">
        <v>13.86</v>
      </c>
      <c r="U106" s="18">
        <v>27.39</v>
      </c>
      <c r="AC106" s="3" t="s">
        <v>81</v>
      </c>
      <c r="AD106" s="10">
        <v>41.72869</v>
      </c>
      <c r="AE106" s="11">
        <v>-73.752064000000004</v>
      </c>
      <c r="AH106" s="3">
        <v>2002</v>
      </c>
      <c r="AI106" s="3">
        <v>5</v>
      </c>
      <c r="AJ106" s="8">
        <v>30</v>
      </c>
      <c r="AK106" s="3">
        <v>2002</v>
      </c>
      <c r="AL106" s="3">
        <v>6</v>
      </c>
      <c r="AM106" s="3">
        <v>1</v>
      </c>
      <c r="AN106" s="29">
        <v>1</v>
      </c>
      <c r="AO106" s="3">
        <v>47</v>
      </c>
      <c r="AR106" s="3">
        <v>47</v>
      </c>
      <c r="AU106" s="3">
        <v>200500</v>
      </c>
      <c r="AV106" s="3">
        <v>326212</v>
      </c>
      <c r="AY106" s="3">
        <v>61.463188261191398</v>
      </c>
      <c r="AZ106" s="3" t="s">
        <v>206</v>
      </c>
      <c r="BA106" s="3" t="s">
        <v>624</v>
      </c>
      <c r="BB106" s="3" t="s">
        <v>625</v>
      </c>
      <c r="BC106" s="3" t="s">
        <v>626</v>
      </c>
      <c r="BD106" s="8">
        <v>2</v>
      </c>
    </row>
    <row r="107" spans="1:56" ht="14.25" customHeight="1" thickBot="1">
      <c r="A107" s="3" t="s">
        <v>627</v>
      </c>
      <c r="B107" s="3" t="s">
        <v>333</v>
      </c>
      <c r="C107" s="3" t="s">
        <v>628</v>
      </c>
      <c r="E107" s="3" t="s">
        <v>71</v>
      </c>
      <c r="F107" s="3">
        <f t="shared" si="0"/>
        <v>2</v>
      </c>
      <c r="G107" s="3" t="s">
        <v>72</v>
      </c>
      <c r="H107" s="3">
        <f t="shared" si="1"/>
        <v>2</v>
      </c>
      <c r="I107" s="3" t="s">
        <v>73</v>
      </c>
      <c r="J107" s="3" t="s">
        <v>74</v>
      </c>
      <c r="K107" s="3" t="s">
        <v>75</v>
      </c>
      <c r="M107" s="3" t="s">
        <v>97</v>
      </c>
      <c r="N107" s="3" t="s">
        <v>98</v>
      </c>
      <c r="O107" s="3" t="s">
        <v>78</v>
      </c>
      <c r="P107" s="3" t="s">
        <v>79</v>
      </c>
      <c r="Q107" s="3" t="s">
        <v>629</v>
      </c>
      <c r="S107" s="18">
        <v>13.35</v>
      </c>
      <c r="T107" s="18">
        <v>12.73</v>
      </c>
      <c r="U107" s="18">
        <v>18.059999999999999</v>
      </c>
      <c r="V107" s="3" t="s">
        <v>355</v>
      </c>
      <c r="W107" s="3" t="s">
        <v>95</v>
      </c>
      <c r="AC107" s="3" t="s">
        <v>81</v>
      </c>
      <c r="AD107" s="10">
        <v>34.978990000000003</v>
      </c>
      <c r="AE107" s="11">
        <v>-80.027742000000003</v>
      </c>
      <c r="AH107" s="3">
        <v>2003</v>
      </c>
      <c r="AI107" s="3">
        <v>3</v>
      </c>
      <c r="AJ107" s="8">
        <v>18</v>
      </c>
      <c r="AK107" s="3">
        <v>2003</v>
      </c>
      <c r="AL107" s="3">
        <v>3</v>
      </c>
      <c r="AM107" s="3">
        <v>20</v>
      </c>
      <c r="AN107" s="29">
        <v>6</v>
      </c>
      <c r="AO107" s="3">
        <v>200</v>
      </c>
      <c r="AQ107" s="3">
        <v>186</v>
      </c>
      <c r="AR107" s="3">
        <v>386</v>
      </c>
      <c r="AU107" s="3">
        <v>450000</v>
      </c>
      <c r="AV107" s="3">
        <v>715894</v>
      </c>
      <c r="AW107" s="3">
        <v>5000000</v>
      </c>
      <c r="AX107" s="3">
        <v>7954379</v>
      </c>
      <c r="AY107" s="3">
        <v>62.858459500041299</v>
      </c>
      <c r="AZ107" s="3" t="s">
        <v>206</v>
      </c>
      <c r="BA107" s="3" t="s">
        <v>630</v>
      </c>
      <c r="BB107" s="3" t="s">
        <v>631</v>
      </c>
      <c r="BC107" s="3" t="s">
        <v>632</v>
      </c>
      <c r="BD107" s="8">
        <v>3</v>
      </c>
    </row>
    <row r="108" spans="1:56" ht="14.25" customHeight="1" thickBot="1">
      <c r="A108" s="3" t="s">
        <v>633</v>
      </c>
      <c r="B108" s="3" t="s">
        <v>333</v>
      </c>
      <c r="C108" s="3" t="s">
        <v>634</v>
      </c>
      <c r="E108" s="3" t="s">
        <v>71</v>
      </c>
      <c r="F108" s="3">
        <f t="shared" si="0"/>
        <v>2</v>
      </c>
      <c r="G108" s="3" t="s">
        <v>72</v>
      </c>
      <c r="H108" s="3">
        <f t="shared" si="1"/>
        <v>2</v>
      </c>
      <c r="I108" s="3" t="s">
        <v>73</v>
      </c>
      <c r="J108" s="3" t="s">
        <v>74</v>
      </c>
      <c r="K108" s="3" t="s">
        <v>127</v>
      </c>
      <c r="M108" s="3" t="s">
        <v>97</v>
      </c>
      <c r="N108" s="3" t="s">
        <v>98</v>
      </c>
      <c r="O108" s="3" t="s">
        <v>78</v>
      </c>
      <c r="P108" s="3" t="s">
        <v>79</v>
      </c>
      <c r="Q108" s="3" t="s">
        <v>635</v>
      </c>
      <c r="S108" s="18">
        <v>2.86</v>
      </c>
      <c r="T108" s="16">
        <v>-7.2</v>
      </c>
      <c r="U108" s="18">
        <v>5.23</v>
      </c>
      <c r="V108" s="3" t="s">
        <v>129</v>
      </c>
      <c r="AC108" s="3" t="s">
        <v>81</v>
      </c>
      <c r="AD108" s="15">
        <v>40.586329999999997</v>
      </c>
      <c r="AE108" s="11">
        <v>-105.413201</v>
      </c>
      <c r="AH108" s="3">
        <v>2003</v>
      </c>
      <c r="AI108" s="3">
        <v>3</v>
      </c>
      <c r="AJ108" s="8">
        <v>20</v>
      </c>
      <c r="AK108" s="3">
        <v>2003</v>
      </c>
      <c r="AL108" s="3">
        <v>3</v>
      </c>
      <c r="AM108" s="3">
        <v>20</v>
      </c>
      <c r="AN108" s="29">
        <v>3</v>
      </c>
      <c r="AW108" s="3">
        <v>25000</v>
      </c>
      <c r="AX108" s="3">
        <v>39772</v>
      </c>
      <c r="AY108" s="3">
        <v>62.858459500041299</v>
      </c>
      <c r="AZ108" s="3" t="s">
        <v>206</v>
      </c>
      <c r="BA108" s="3" t="s">
        <v>123</v>
      </c>
      <c r="BB108" s="3" t="s">
        <v>636</v>
      </c>
      <c r="BC108" s="3" t="s">
        <v>637</v>
      </c>
      <c r="BD108" s="8">
        <v>0</v>
      </c>
    </row>
    <row r="109" spans="1:56" ht="14.25" customHeight="1" thickBot="1">
      <c r="A109" s="3" t="s">
        <v>638</v>
      </c>
      <c r="B109" s="3" t="s">
        <v>333</v>
      </c>
      <c r="C109" s="3" t="s">
        <v>639</v>
      </c>
      <c r="E109" s="3" t="s">
        <v>71</v>
      </c>
      <c r="F109" s="3">
        <f t="shared" si="0"/>
        <v>2</v>
      </c>
      <c r="G109" s="3" t="s">
        <v>72</v>
      </c>
      <c r="H109" s="3">
        <f t="shared" si="1"/>
        <v>2</v>
      </c>
      <c r="I109" s="3" t="s">
        <v>73</v>
      </c>
      <c r="J109" s="3" t="s">
        <v>74</v>
      </c>
      <c r="K109" s="3" t="s">
        <v>127</v>
      </c>
      <c r="M109" s="3" t="s">
        <v>97</v>
      </c>
      <c r="N109" s="3" t="s">
        <v>98</v>
      </c>
      <c r="O109" s="3" t="s">
        <v>78</v>
      </c>
      <c r="P109" s="3" t="s">
        <v>79</v>
      </c>
      <c r="Q109" s="3" t="s">
        <v>640</v>
      </c>
      <c r="S109" s="18">
        <v>44.55</v>
      </c>
      <c r="T109" s="18">
        <v>-3.91</v>
      </c>
      <c r="U109" s="18">
        <v>8.4600000000000009</v>
      </c>
      <c r="Z109" s="3" t="s">
        <v>264</v>
      </c>
      <c r="AC109" s="3" t="s">
        <v>81</v>
      </c>
      <c r="AD109" s="7">
        <v>37.572600000000001</v>
      </c>
      <c r="AE109" s="7">
        <v>-85.155140000000003</v>
      </c>
      <c r="AH109" s="3">
        <v>2003</v>
      </c>
      <c r="AI109" s="3">
        <v>2</v>
      </c>
      <c r="AJ109" s="8">
        <v>14</v>
      </c>
      <c r="AK109" s="3">
        <v>2003</v>
      </c>
      <c r="AL109" s="3">
        <v>2</v>
      </c>
      <c r="AM109" s="3">
        <v>18</v>
      </c>
      <c r="AN109" s="29">
        <v>44</v>
      </c>
      <c r="AP109" s="3">
        <v>120</v>
      </c>
      <c r="AR109" s="3">
        <v>120</v>
      </c>
      <c r="AU109" s="3">
        <v>200000</v>
      </c>
      <c r="AV109" s="3">
        <v>318175</v>
      </c>
      <c r="AW109" s="3">
        <v>200000</v>
      </c>
      <c r="AX109" s="3">
        <v>318175</v>
      </c>
      <c r="AY109" s="3">
        <v>62.858459500041299</v>
      </c>
      <c r="AZ109" s="3" t="s">
        <v>89</v>
      </c>
      <c r="BA109" s="3" t="s">
        <v>641</v>
      </c>
      <c r="BC109" s="3" t="s">
        <v>642</v>
      </c>
      <c r="BD109" s="8">
        <v>3</v>
      </c>
    </row>
    <row r="110" spans="1:56" ht="14.25" customHeight="1" thickBot="1">
      <c r="A110" s="3" t="s">
        <v>643</v>
      </c>
      <c r="B110" s="3" t="s">
        <v>333</v>
      </c>
      <c r="C110" s="3" t="s">
        <v>644</v>
      </c>
      <c r="E110" s="3" t="s">
        <v>71</v>
      </c>
      <c r="F110" s="3">
        <f t="shared" si="0"/>
        <v>2</v>
      </c>
      <c r="G110" s="3" t="s">
        <v>72</v>
      </c>
      <c r="H110" s="3">
        <f t="shared" si="1"/>
        <v>2</v>
      </c>
      <c r="I110" s="3" t="s">
        <v>73</v>
      </c>
      <c r="J110" s="3" t="s">
        <v>212</v>
      </c>
      <c r="L110" s="3" t="s">
        <v>645</v>
      </c>
      <c r="M110" s="3" t="s">
        <v>76</v>
      </c>
      <c r="N110" s="3" t="s">
        <v>77</v>
      </c>
      <c r="O110" s="3" t="s">
        <v>78</v>
      </c>
      <c r="P110" s="3" t="s">
        <v>79</v>
      </c>
      <c r="Q110" s="3" t="s">
        <v>646</v>
      </c>
      <c r="S110" s="18">
        <v>33.619999999999997</v>
      </c>
      <c r="T110" s="18">
        <v>17.97</v>
      </c>
      <c r="U110" s="18">
        <v>21.62</v>
      </c>
      <c r="V110" s="3" t="s">
        <v>95</v>
      </c>
      <c r="Z110" s="3" t="s">
        <v>264</v>
      </c>
      <c r="AB110" s="3">
        <v>143</v>
      </c>
      <c r="AC110" s="3" t="s">
        <v>81</v>
      </c>
      <c r="AD110" s="6">
        <v>45.196040000000004</v>
      </c>
      <c r="AE110" s="6">
        <v>-63.165379000000001</v>
      </c>
      <c r="AH110" s="3">
        <v>2003</v>
      </c>
      <c r="AI110" s="3">
        <v>9</v>
      </c>
      <c r="AJ110" s="8">
        <v>28</v>
      </c>
      <c r="AK110" s="3">
        <v>2003</v>
      </c>
      <c r="AL110" s="3">
        <v>9</v>
      </c>
      <c r="AM110" s="3">
        <v>29</v>
      </c>
      <c r="AN110" s="29">
        <v>2</v>
      </c>
      <c r="AP110" s="3">
        <v>200</v>
      </c>
      <c r="AR110" s="3">
        <v>200</v>
      </c>
      <c r="AW110" s="3">
        <v>110000</v>
      </c>
      <c r="AX110" s="3">
        <v>174996</v>
      </c>
      <c r="AY110" s="3">
        <v>62.858459500041299</v>
      </c>
      <c r="AZ110" s="3" t="s">
        <v>89</v>
      </c>
      <c r="BA110" s="3" t="s">
        <v>647</v>
      </c>
      <c r="BC110" s="3" t="s">
        <v>648</v>
      </c>
      <c r="BD110" s="8">
        <v>3</v>
      </c>
    </row>
    <row r="111" spans="1:56" ht="14.25" customHeight="1" thickBot="1">
      <c r="A111" s="3" t="s">
        <v>649</v>
      </c>
      <c r="B111" s="3" t="s">
        <v>333</v>
      </c>
      <c r="C111" s="3" t="s">
        <v>650</v>
      </c>
      <c r="E111" s="3" t="s">
        <v>71</v>
      </c>
      <c r="F111" s="3">
        <f t="shared" si="0"/>
        <v>1</v>
      </c>
      <c r="G111" s="3" t="s">
        <v>94</v>
      </c>
      <c r="H111" s="3">
        <f t="shared" si="1"/>
        <v>1</v>
      </c>
      <c r="I111" s="3" t="s">
        <v>95</v>
      </c>
      <c r="J111" s="3" t="s">
        <v>185</v>
      </c>
      <c r="M111" s="3" t="s">
        <v>76</v>
      </c>
      <c r="N111" s="3" t="s">
        <v>77</v>
      </c>
      <c r="O111" s="3" t="s">
        <v>78</v>
      </c>
      <c r="P111" s="3" t="s">
        <v>79</v>
      </c>
      <c r="Q111" s="3" t="s">
        <v>651</v>
      </c>
      <c r="R111" s="3" t="s">
        <v>187</v>
      </c>
      <c r="S111" s="18">
        <v>0</v>
      </c>
      <c r="T111" s="18">
        <v>11.32</v>
      </c>
      <c r="U111" s="18">
        <v>27.74</v>
      </c>
      <c r="AB111" s="3">
        <v>1990</v>
      </c>
      <c r="AC111" s="3" t="s">
        <v>102</v>
      </c>
      <c r="AD111" s="7">
        <v>52.476100000000002</v>
      </c>
      <c r="AE111" s="9">
        <v>-71.8258668</v>
      </c>
      <c r="AG111" s="3" t="s">
        <v>652</v>
      </c>
      <c r="AH111" s="3">
        <v>2003</v>
      </c>
      <c r="AI111" s="3">
        <v>8</v>
      </c>
      <c r="AJ111" s="8">
        <v>4</v>
      </c>
      <c r="AK111" s="3">
        <v>2003</v>
      </c>
      <c r="AL111" s="3">
        <v>8</v>
      </c>
      <c r="AM111" s="3">
        <v>5</v>
      </c>
      <c r="AN111" s="29">
        <v>0</v>
      </c>
      <c r="AP111" s="3">
        <v>400</v>
      </c>
      <c r="AR111" s="3">
        <v>400</v>
      </c>
      <c r="AW111" s="3">
        <v>10000</v>
      </c>
      <c r="AX111" s="3">
        <v>15909</v>
      </c>
      <c r="AY111" s="3">
        <v>62.858459500041299</v>
      </c>
      <c r="AZ111" s="3" t="s">
        <v>82</v>
      </c>
      <c r="BB111" s="3" t="s">
        <v>653</v>
      </c>
      <c r="BC111" s="3" t="s">
        <v>654</v>
      </c>
      <c r="BD111" s="8">
        <v>3</v>
      </c>
    </row>
    <row r="112" spans="1:56" ht="14.25" customHeight="1" thickBot="1">
      <c r="A112" s="3" t="s">
        <v>655</v>
      </c>
      <c r="B112" s="3" t="s">
        <v>333</v>
      </c>
      <c r="C112" s="3" t="s">
        <v>656</v>
      </c>
      <c r="E112" s="3" t="s">
        <v>71</v>
      </c>
      <c r="F112" s="3">
        <f t="shared" si="0"/>
        <v>1</v>
      </c>
      <c r="G112" s="3" t="s">
        <v>94</v>
      </c>
      <c r="H112" s="3">
        <f t="shared" si="1"/>
        <v>1</v>
      </c>
      <c r="I112" s="3" t="s">
        <v>95</v>
      </c>
      <c r="J112" s="3" t="s">
        <v>96</v>
      </c>
      <c r="M112" s="3" t="s">
        <v>76</v>
      </c>
      <c r="N112" s="3" t="s">
        <v>77</v>
      </c>
      <c r="O112" s="3" t="s">
        <v>78</v>
      </c>
      <c r="P112" s="3" t="s">
        <v>79</v>
      </c>
      <c r="Q112" s="3" t="s">
        <v>657</v>
      </c>
      <c r="R112" s="3" t="s">
        <v>658</v>
      </c>
      <c r="S112" s="18">
        <v>44.36</v>
      </c>
      <c r="T112" s="18">
        <v>1.5</v>
      </c>
      <c r="U112" s="18">
        <v>9.34</v>
      </c>
      <c r="AB112" s="3">
        <v>13530</v>
      </c>
      <c r="AC112" s="3" t="s">
        <v>102</v>
      </c>
      <c r="AD112" s="6">
        <v>45.437730000000002</v>
      </c>
      <c r="AE112" s="6">
        <v>-63.348886999999998</v>
      </c>
      <c r="AG112" s="3" t="s">
        <v>659</v>
      </c>
      <c r="AH112" s="3">
        <v>2003</v>
      </c>
      <c r="AI112" s="3">
        <v>3</v>
      </c>
      <c r="AJ112" s="8">
        <v>31</v>
      </c>
      <c r="AK112" s="3">
        <v>2003</v>
      </c>
      <c r="AL112" s="3">
        <v>4</v>
      </c>
      <c r="AM112" s="3">
        <v>3</v>
      </c>
      <c r="AN112" s="29">
        <v>2</v>
      </c>
      <c r="AP112" s="3">
        <v>170</v>
      </c>
      <c r="AR112" s="3">
        <v>170</v>
      </c>
      <c r="AW112" s="3">
        <v>10000</v>
      </c>
      <c r="AX112" s="3">
        <v>15909</v>
      </c>
      <c r="AY112" s="3">
        <v>62.858459500041299</v>
      </c>
      <c r="AZ112" s="3" t="s">
        <v>82</v>
      </c>
      <c r="BB112" s="3" t="s">
        <v>660</v>
      </c>
      <c r="BC112" s="3" t="s">
        <v>661</v>
      </c>
      <c r="BD112" s="8">
        <v>3</v>
      </c>
    </row>
    <row r="113" spans="1:56" ht="14.25" customHeight="1" thickBot="1">
      <c r="A113" s="3" t="s">
        <v>662</v>
      </c>
      <c r="B113" s="3" t="s">
        <v>333</v>
      </c>
      <c r="C113" s="3" t="s">
        <v>663</v>
      </c>
      <c r="E113" s="3" t="s">
        <v>71</v>
      </c>
      <c r="F113" s="3">
        <f t="shared" si="0"/>
        <v>1</v>
      </c>
      <c r="G113" s="3" t="s">
        <v>94</v>
      </c>
      <c r="H113" s="3">
        <f t="shared" si="1"/>
        <v>1</v>
      </c>
      <c r="I113" s="3" t="s">
        <v>95</v>
      </c>
      <c r="J113" s="3" t="s">
        <v>96</v>
      </c>
      <c r="M113" s="3" t="s">
        <v>76</v>
      </c>
      <c r="N113" s="3" t="s">
        <v>77</v>
      </c>
      <c r="O113" s="3" t="s">
        <v>78</v>
      </c>
      <c r="P113" s="3" t="s">
        <v>79</v>
      </c>
      <c r="Q113" s="3" t="s">
        <v>664</v>
      </c>
      <c r="R113" s="3" t="s">
        <v>200</v>
      </c>
      <c r="S113" s="18">
        <v>87.23</v>
      </c>
      <c r="T113" s="18">
        <v>6.84</v>
      </c>
      <c r="U113" s="18">
        <v>14.87</v>
      </c>
      <c r="Z113" s="3" t="s">
        <v>264</v>
      </c>
      <c r="AC113" s="3" t="s">
        <v>102</v>
      </c>
      <c r="AD113" s="6">
        <v>49.698070000000001</v>
      </c>
      <c r="AE113" s="6">
        <v>-123.155861</v>
      </c>
      <c r="AG113" s="3" t="s">
        <v>665</v>
      </c>
      <c r="AH113" s="3">
        <v>2003</v>
      </c>
      <c r="AI113" s="3">
        <v>10</v>
      </c>
      <c r="AJ113" s="8">
        <v>17</v>
      </c>
      <c r="AK113" s="3">
        <v>2003</v>
      </c>
      <c r="AL113" s="3">
        <v>10</v>
      </c>
      <c r="AM113" s="3">
        <v>26</v>
      </c>
      <c r="AN113" s="29">
        <v>2</v>
      </c>
      <c r="AP113" s="3">
        <v>800</v>
      </c>
      <c r="AR113" s="3">
        <v>800</v>
      </c>
      <c r="AW113" s="3">
        <v>15000</v>
      </c>
      <c r="AX113" s="3">
        <v>23863</v>
      </c>
      <c r="AY113" s="3">
        <v>62.858459500041299</v>
      </c>
      <c r="AZ113" s="3" t="s">
        <v>82</v>
      </c>
      <c r="BB113" s="3" t="s">
        <v>666</v>
      </c>
      <c r="BC113" s="3" t="s">
        <v>667</v>
      </c>
      <c r="BD113" s="8">
        <v>3</v>
      </c>
    </row>
    <row r="114" spans="1:56" ht="14.25" customHeight="1" thickBot="1">
      <c r="A114" s="3" t="s">
        <v>668</v>
      </c>
      <c r="B114" s="3" t="s">
        <v>333</v>
      </c>
      <c r="C114" s="3" t="s">
        <v>669</v>
      </c>
      <c r="E114" s="3" t="s">
        <v>71</v>
      </c>
      <c r="F114" s="3">
        <f t="shared" si="0"/>
        <v>2</v>
      </c>
      <c r="G114" s="3" t="s">
        <v>72</v>
      </c>
      <c r="H114" s="3">
        <f t="shared" si="1"/>
        <v>2</v>
      </c>
      <c r="I114" s="3" t="s">
        <v>73</v>
      </c>
      <c r="J114" s="3" t="s">
        <v>212</v>
      </c>
      <c r="L114" s="3" t="s">
        <v>670</v>
      </c>
      <c r="M114" s="3" t="s">
        <v>76</v>
      </c>
      <c r="N114" s="3" t="s">
        <v>77</v>
      </c>
      <c r="O114" s="3" t="s">
        <v>78</v>
      </c>
      <c r="P114" s="3" t="s">
        <v>79</v>
      </c>
      <c r="Q114" s="3" t="s">
        <v>671</v>
      </c>
      <c r="S114" s="18">
        <v>6.12</v>
      </c>
      <c r="T114" s="18">
        <v>8.25</v>
      </c>
      <c r="U114" s="18">
        <v>12.6</v>
      </c>
      <c r="AC114" s="3" t="s">
        <v>81</v>
      </c>
      <c r="AD114" s="6">
        <v>49.739730000000002</v>
      </c>
      <c r="AE114" s="6">
        <v>-95.136380000000003</v>
      </c>
      <c r="AH114" s="3">
        <v>2003</v>
      </c>
      <c r="AI114" s="3">
        <v>9</v>
      </c>
      <c r="AJ114" s="8">
        <v>18</v>
      </c>
      <c r="AK114" s="3">
        <v>2003</v>
      </c>
      <c r="AL114" s="3">
        <v>9</v>
      </c>
      <c r="AM114" s="3">
        <v>18</v>
      </c>
      <c r="AN114" s="29">
        <v>0</v>
      </c>
      <c r="AY114" s="3">
        <v>62.858459500041299</v>
      </c>
      <c r="AZ114" s="3" t="s">
        <v>89</v>
      </c>
      <c r="BA114" s="3" t="s">
        <v>672</v>
      </c>
      <c r="BC114" s="3" t="s">
        <v>673</v>
      </c>
      <c r="BD114" s="8">
        <v>0</v>
      </c>
    </row>
    <row r="115" spans="1:56" ht="14.25" customHeight="1" thickBot="1">
      <c r="A115" s="3" t="s">
        <v>674</v>
      </c>
      <c r="B115" s="3" t="s">
        <v>333</v>
      </c>
      <c r="C115" s="3" t="s">
        <v>675</v>
      </c>
      <c r="E115" s="3" t="s">
        <v>71</v>
      </c>
      <c r="F115" s="3">
        <f t="shared" si="0"/>
        <v>3</v>
      </c>
      <c r="G115" s="3" t="s">
        <v>119</v>
      </c>
      <c r="H115" s="3">
        <f t="shared" si="1"/>
        <v>3</v>
      </c>
      <c r="I115" s="3" t="s">
        <v>122</v>
      </c>
      <c r="J115" s="3" t="s">
        <v>227</v>
      </c>
      <c r="M115" s="3" t="s">
        <v>76</v>
      </c>
      <c r="N115" s="3" t="s">
        <v>77</v>
      </c>
      <c r="O115" s="3" t="s">
        <v>78</v>
      </c>
      <c r="P115" s="3" t="s">
        <v>79</v>
      </c>
      <c r="Q115" s="3" t="s">
        <v>676</v>
      </c>
      <c r="S115" s="18">
        <v>4.29</v>
      </c>
      <c r="T115" s="18">
        <v>11.71</v>
      </c>
      <c r="U115" s="18">
        <v>19.45</v>
      </c>
      <c r="AB115" s="3">
        <v>2500</v>
      </c>
      <c r="AC115" s="3" t="s">
        <v>102</v>
      </c>
      <c r="AD115" s="6">
        <v>55.001249999999999</v>
      </c>
      <c r="AE115" s="6">
        <v>-125.002441</v>
      </c>
      <c r="AH115" s="3">
        <v>2003</v>
      </c>
      <c r="AI115" s="3">
        <v>8</v>
      </c>
      <c r="AJ115" s="8">
        <v>1</v>
      </c>
      <c r="AK115" s="3">
        <v>2003</v>
      </c>
      <c r="AL115" s="3">
        <v>9</v>
      </c>
      <c r="AM115" s="3">
        <v>14</v>
      </c>
      <c r="AN115" s="29">
        <v>1</v>
      </c>
      <c r="AU115" s="3">
        <v>155000</v>
      </c>
      <c r="AV115" s="3">
        <v>246586</v>
      </c>
      <c r="AW115" s="3">
        <v>545000</v>
      </c>
      <c r="AX115" s="3">
        <v>867027</v>
      </c>
      <c r="AY115" s="3">
        <v>62.858459500041299</v>
      </c>
      <c r="AZ115" s="3" t="s">
        <v>89</v>
      </c>
      <c r="BA115" s="3" t="s">
        <v>677</v>
      </c>
      <c r="BC115" s="3" t="s">
        <v>678</v>
      </c>
      <c r="BD115" s="8">
        <v>0</v>
      </c>
    </row>
    <row r="116" spans="1:56" ht="14.25" customHeight="1" thickBot="1">
      <c r="A116" s="3" t="s">
        <v>679</v>
      </c>
      <c r="B116" s="3" t="s">
        <v>680</v>
      </c>
      <c r="C116" s="3" t="s">
        <v>681</v>
      </c>
      <c r="E116" s="3" t="s">
        <v>71</v>
      </c>
      <c r="F116" s="3">
        <f t="shared" si="0"/>
        <v>1</v>
      </c>
      <c r="G116" s="3" t="s">
        <v>94</v>
      </c>
      <c r="H116" s="3">
        <f t="shared" si="1"/>
        <v>1</v>
      </c>
      <c r="I116" s="3" t="s">
        <v>95</v>
      </c>
      <c r="J116" s="3" t="s">
        <v>185</v>
      </c>
      <c r="M116" s="3" t="s">
        <v>76</v>
      </c>
      <c r="N116" s="3" t="s">
        <v>77</v>
      </c>
      <c r="O116" s="3" t="s">
        <v>78</v>
      </c>
      <c r="P116" s="3" t="s">
        <v>79</v>
      </c>
      <c r="Q116" s="3" t="s">
        <v>682</v>
      </c>
      <c r="S116" s="18">
        <v>1.49</v>
      </c>
      <c r="T116" s="18">
        <v>14.56</v>
      </c>
      <c r="U116" s="18">
        <v>24.45</v>
      </c>
      <c r="V116" s="3" t="s">
        <v>683</v>
      </c>
      <c r="Z116" s="3" t="s">
        <v>264</v>
      </c>
      <c r="AC116" s="3" t="s">
        <v>102</v>
      </c>
      <c r="AD116" s="6">
        <v>49.739730000000002</v>
      </c>
      <c r="AE116" s="6">
        <v>-95.136380000000003</v>
      </c>
      <c r="AH116" s="3">
        <v>2004</v>
      </c>
      <c r="AI116" s="3">
        <v>7</v>
      </c>
      <c r="AJ116" s="8">
        <v>13</v>
      </c>
      <c r="AK116" s="3">
        <v>2004</v>
      </c>
      <c r="AL116" s="3">
        <v>7</v>
      </c>
      <c r="AM116" s="3">
        <v>16</v>
      </c>
      <c r="AN116" s="29">
        <v>0</v>
      </c>
      <c r="AU116" s="3">
        <v>110000</v>
      </c>
      <c r="AV116" s="3">
        <v>170433</v>
      </c>
      <c r="AW116" s="3">
        <v>200000</v>
      </c>
      <c r="AX116" s="3">
        <v>309879</v>
      </c>
      <c r="AY116" s="3">
        <v>64.541329281744694</v>
      </c>
      <c r="AZ116" s="3" t="s">
        <v>89</v>
      </c>
      <c r="BA116" s="3" t="s">
        <v>684</v>
      </c>
      <c r="BC116" s="3" t="s">
        <v>685</v>
      </c>
      <c r="BD116" s="8">
        <v>0</v>
      </c>
    </row>
    <row r="117" spans="1:56" ht="14.25" customHeight="1" thickBot="1">
      <c r="A117" s="3" t="s">
        <v>686</v>
      </c>
      <c r="B117" s="3" t="s">
        <v>680</v>
      </c>
      <c r="C117" s="3" t="s">
        <v>687</v>
      </c>
      <c r="E117" s="3" t="s">
        <v>71</v>
      </c>
      <c r="F117" s="3">
        <f t="shared" si="0"/>
        <v>2</v>
      </c>
      <c r="G117" s="3" t="s">
        <v>72</v>
      </c>
      <c r="H117" s="3">
        <f t="shared" si="1"/>
        <v>2</v>
      </c>
      <c r="I117" s="3" t="s">
        <v>73</v>
      </c>
      <c r="J117" s="3" t="s">
        <v>74</v>
      </c>
      <c r="K117" s="3" t="s">
        <v>127</v>
      </c>
      <c r="M117" s="3" t="s">
        <v>76</v>
      </c>
      <c r="N117" s="3" t="s">
        <v>77</v>
      </c>
      <c r="O117" s="3" t="s">
        <v>78</v>
      </c>
      <c r="P117" s="3" t="s">
        <v>79</v>
      </c>
      <c r="Q117" s="3" t="s">
        <v>88</v>
      </c>
      <c r="S117" s="18">
        <v>0</v>
      </c>
      <c r="T117" s="18">
        <v>-25.91</v>
      </c>
      <c r="U117" s="18">
        <v>-15.46</v>
      </c>
      <c r="V117" s="3" t="s">
        <v>114</v>
      </c>
      <c r="AC117" s="3" t="s">
        <v>81</v>
      </c>
      <c r="AD117" s="7">
        <v>52.476100000000002</v>
      </c>
      <c r="AE117" s="9">
        <v>-71.8258668</v>
      </c>
      <c r="AH117" s="3">
        <v>2004</v>
      </c>
      <c r="AI117" s="3">
        <v>1</v>
      </c>
      <c r="AJ117" s="8">
        <v>1</v>
      </c>
      <c r="AK117" s="3">
        <v>2004</v>
      </c>
      <c r="AL117" s="3">
        <v>1</v>
      </c>
      <c r="AN117" s="29">
        <v>0</v>
      </c>
      <c r="AW117" s="3">
        <v>100000</v>
      </c>
      <c r="AX117" s="3">
        <v>154939</v>
      </c>
      <c r="AY117" s="3">
        <v>64.541329281744694</v>
      </c>
      <c r="AZ117" s="3" t="s">
        <v>89</v>
      </c>
      <c r="BA117" s="3" t="s">
        <v>90</v>
      </c>
      <c r="BC117" s="3" t="s">
        <v>91</v>
      </c>
      <c r="BD117" s="8">
        <v>0</v>
      </c>
    </row>
    <row r="118" spans="1:56" ht="14.25" customHeight="1" thickBot="1">
      <c r="A118" s="3" t="s">
        <v>688</v>
      </c>
      <c r="B118" s="3" t="s">
        <v>680</v>
      </c>
      <c r="C118" s="3" t="s">
        <v>689</v>
      </c>
      <c r="E118" s="3" t="s">
        <v>71</v>
      </c>
      <c r="F118" s="3">
        <f t="shared" si="0"/>
        <v>2</v>
      </c>
      <c r="G118" s="3" t="s">
        <v>72</v>
      </c>
      <c r="H118" s="3">
        <f t="shared" si="1"/>
        <v>2</v>
      </c>
      <c r="I118" s="3" t="s">
        <v>73</v>
      </c>
      <c r="J118" s="3" t="s">
        <v>74</v>
      </c>
      <c r="K118" s="3" t="s">
        <v>127</v>
      </c>
      <c r="M118" s="3" t="s">
        <v>76</v>
      </c>
      <c r="N118" s="3" t="s">
        <v>77</v>
      </c>
      <c r="O118" s="3" t="s">
        <v>78</v>
      </c>
      <c r="P118" s="3" t="s">
        <v>79</v>
      </c>
      <c r="Q118" s="3" t="s">
        <v>690</v>
      </c>
      <c r="S118" s="18">
        <v>33.880000000000003</v>
      </c>
      <c r="T118" s="18">
        <v>-4.6399999999999997</v>
      </c>
      <c r="U118" s="18">
        <v>-1.64</v>
      </c>
      <c r="Z118" s="3" t="s">
        <v>264</v>
      </c>
      <c r="AB118" s="3">
        <v>120</v>
      </c>
      <c r="AC118" s="3" t="s">
        <v>81</v>
      </c>
      <c r="AD118" s="6">
        <v>45.196040000000004</v>
      </c>
      <c r="AE118" s="6">
        <v>-63.165379000000001</v>
      </c>
      <c r="AH118" s="3">
        <v>2004</v>
      </c>
      <c r="AI118" s="3">
        <v>2</v>
      </c>
      <c r="AJ118" s="8">
        <v>19</v>
      </c>
      <c r="AK118" s="3">
        <v>2004</v>
      </c>
      <c r="AL118" s="3">
        <v>2</v>
      </c>
      <c r="AM118" s="3">
        <v>19</v>
      </c>
      <c r="AN118" s="29">
        <v>0</v>
      </c>
      <c r="AY118" s="3">
        <v>64.541329281744694</v>
      </c>
      <c r="AZ118" s="3" t="s">
        <v>89</v>
      </c>
      <c r="BA118" s="3" t="s">
        <v>691</v>
      </c>
      <c r="BC118" s="3" t="s">
        <v>692</v>
      </c>
      <c r="BD118" s="8">
        <v>0</v>
      </c>
    </row>
    <row r="119" spans="1:56" ht="14.25" customHeight="1" thickBot="1">
      <c r="A119" s="3" t="s">
        <v>693</v>
      </c>
      <c r="B119" s="3" t="s">
        <v>680</v>
      </c>
      <c r="C119" s="3" t="s">
        <v>694</v>
      </c>
      <c r="E119" s="3" t="s">
        <v>71</v>
      </c>
      <c r="F119" s="3">
        <f t="shared" si="0"/>
        <v>1</v>
      </c>
      <c r="G119" s="3" t="s">
        <v>94</v>
      </c>
      <c r="H119" s="3">
        <f t="shared" si="1"/>
        <v>1</v>
      </c>
      <c r="I119" s="3" t="s">
        <v>95</v>
      </c>
      <c r="J119" s="3" t="s">
        <v>96</v>
      </c>
      <c r="M119" s="3" t="s">
        <v>76</v>
      </c>
      <c r="N119" s="3" t="s">
        <v>77</v>
      </c>
      <c r="O119" s="3" t="s">
        <v>78</v>
      </c>
      <c r="P119" s="3" t="s">
        <v>79</v>
      </c>
      <c r="Q119" s="3" t="s">
        <v>695</v>
      </c>
      <c r="R119" s="3" t="s">
        <v>696</v>
      </c>
      <c r="S119" s="18">
        <v>19.53</v>
      </c>
      <c r="T119" s="18">
        <v>0.28000000000000003</v>
      </c>
      <c r="U119" s="18">
        <v>4.17</v>
      </c>
      <c r="AC119" s="3" t="s">
        <v>102</v>
      </c>
      <c r="AD119" s="6">
        <v>49.899470000000001</v>
      </c>
      <c r="AE119" s="6">
        <v>-97.141711000000001</v>
      </c>
      <c r="AG119" s="3" t="s">
        <v>697</v>
      </c>
      <c r="AH119" s="3">
        <v>2004</v>
      </c>
      <c r="AI119" s="3">
        <v>3</v>
      </c>
      <c r="AJ119" s="8">
        <v>28</v>
      </c>
      <c r="AK119" s="3">
        <v>2004</v>
      </c>
      <c r="AL119" s="3">
        <v>4</v>
      </c>
      <c r="AM119" s="3">
        <v>11</v>
      </c>
      <c r="AN119" s="29">
        <v>0</v>
      </c>
      <c r="AP119" s="3">
        <v>1000</v>
      </c>
      <c r="AR119" s="3">
        <v>1000</v>
      </c>
      <c r="AY119" s="3">
        <v>64.541329281744694</v>
      </c>
      <c r="AZ119" s="3" t="s">
        <v>82</v>
      </c>
      <c r="BB119" s="3" t="s">
        <v>698</v>
      </c>
      <c r="BC119" s="3" t="s">
        <v>699</v>
      </c>
      <c r="BD119" s="8">
        <v>4</v>
      </c>
    </row>
    <row r="120" spans="1:56" ht="14.25" customHeight="1" thickBot="1">
      <c r="A120" s="3" t="s">
        <v>700</v>
      </c>
      <c r="B120" s="3" t="s">
        <v>333</v>
      </c>
      <c r="C120" s="3" t="s">
        <v>701</v>
      </c>
      <c r="E120" s="3" t="s">
        <v>71</v>
      </c>
      <c r="F120" s="3">
        <f t="shared" si="0"/>
        <v>2</v>
      </c>
      <c r="G120" s="3" t="s">
        <v>72</v>
      </c>
      <c r="H120" s="3">
        <f t="shared" si="1"/>
        <v>2</v>
      </c>
      <c r="I120" s="3" t="s">
        <v>73</v>
      </c>
      <c r="M120" s="3" t="s">
        <v>97</v>
      </c>
      <c r="N120" s="3" t="s">
        <v>98</v>
      </c>
      <c r="O120" s="3" t="s">
        <v>78</v>
      </c>
      <c r="P120" s="3" t="s">
        <v>79</v>
      </c>
      <c r="Q120" s="3" t="s">
        <v>702</v>
      </c>
      <c r="S120" s="18">
        <v>0</v>
      </c>
      <c r="T120" s="18">
        <v>2.27</v>
      </c>
      <c r="U120" s="18">
        <v>12.56</v>
      </c>
      <c r="V120" s="3" t="s">
        <v>101</v>
      </c>
      <c r="W120" s="3" t="s">
        <v>95</v>
      </c>
      <c r="AC120" s="3" t="s">
        <v>81</v>
      </c>
      <c r="AD120" s="6">
        <v>38.475839999999998</v>
      </c>
      <c r="AE120" s="6">
        <v>-80.840840999999998</v>
      </c>
      <c r="AH120" s="3">
        <v>2003</v>
      </c>
      <c r="AI120" s="3">
        <v>11</v>
      </c>
      <c r="AJ120" s="8">
        <v>20</v>
      </c>
      <c r="AK120" s="3">
        <v>2003</v>
      </c>
      <c r="AL120" s="3">
        <v>11</v>
      </c>
      <c r="AM120" s="3">
        <v>20</v>
      </c>
      <c r="AN120" s="29">
        <v>8</v>
      </c>
      <c r="AP120" s="3">
        <v>1125</v>
      </c>
      <c r="AR120" s="3">
        <v>1125</v>
      </c>
      <c r="AU120" s="3">
        <v>450000</v>
      </c>
      <c r="AV120" s="3">
        <v>715894</v>
      </c>
      <c r="AY120" s="3">
        <v>62.858459500041299</v>
      </c>
      <c r="AZ120" s="3" t="s">
        <v>89</v>
      </c>
      <c r="BA120" s="3" t="s">
        <v>703</v>
      </c>
      <c r="BC120" s="3" t="s">
        <v>704</v>
      </c>
      <c r="BD120" s="8">
        <v>4</v>
      </c>
    </row>
    <row r="121" spans="1:56" ht="14.25" customHeight="1" thickBot="1">
      <c r="A121" s="3" t="s">
        <v>705</v>
      </c>
      <c r="B121" s="3" t="s">
        <v>333</v>
      </c>
      <c r="C121" s="3" t="s">
        <v>706</v>
      </c>
      <c r="E121" s="3" t="s">
        <v>71</v>
      </c>
      <c r="F121" s="3">
        <f t="shared" si="0"/>
        <v>2</v>
      </c>
      <c r="G121" s="3" t="s">
        <v>72</v>
      </c>
      <c r="H121" s="3">
        <f t="shared" si="1"/>
        <v>2</v>
      </c>
      <c r="I121" s="3" t="s">
        <v>73</v>
      </c>
      <c r="M121" s="3" t="s">
        <v>97</v>
      </c>
      <c r="N121" s="3" t="s">
        <v>98</v>
      </c>
      <c r="O121" s="3" t="s">
        <v>78</v>
      </c>
      <c r="P121" s="3" t="s">
        <v>79</v>
      </c>
      <c r="Q121" s="3" t="s">
        <v>707</v>
      </c>
      <c r="S121" s="18">
        <v>0</v>
      </c>
      <c r="T121" s="18">
        <v>13.31</v>
      </c>
      <c r="U121" s="18">
        <v>24.38</v>
      </c>
      <c r="V121" s="3" t="s">
        <v>355</v>
      </c>
      <c r="W121" s="3" t="s">
        <v>343</v>
      </c>
      <c r="AC121" s="3" t="s">
        <v>81</v>
      </c>
      <c r="AD121" s="6">
        <v>33.258879999999998</v>
      </c>
      <c r="AE121" s="6">
        <v>-86.829533999999995</v>
      </c>
      <c r="AH121" s="3">
        <v>2003</v>
      </c>
      <c r="AI121" s="3">
        <v>4</v>
      </c>
      <c r="AJ121" s="8">
        <v>4</v>
      </c>
      <c r="AK121" s="3">
        <v>2003</v>
      </c>
      <c r="AL121" s="3">
        <v>4</v>
      </c>
      <c r="AM121" s="3">
        <v>8</v>
      </c>
      <c r="AN121" s="29">
        <v>13</v>
      </c>
      <c r="AW121" s="3">
        <v>2100000</v>
      </c>
      <c r="AX121" s="3">
        <v>3340839</v>
      </c>
      <c r="AY121" s="3">
        <v>62.858459500041299</v>
      </c>
      <c r="AZ121" s="3" t="s">
        <v>89</v>
      </c>
      <c r="BA121" s="3" t="s">
        <v>708</v>
      </c>
      <c r="BC121" s="3" t="s">
        <v>709</v>
      </c>
      <c r="BD121" s="8">
        <v>0</v>
      </c>
    </row>
    <row r="122" spans="1:56" ht="14.25" customHeight="1" thickBot="1">
      <c r="A122" s="3" t="s">
        <v>710</v>
      </c>
      <c r="B122" s="3" t="s">
        <v>333</v>
      </c>
      <c r="C122" s="3" t="s">
        <v>711</v>
      </c>
      <c r="E122" s="3" t="s">
        <v>71</v>
      </c>
      <c r="F122" s="3">
        <f t="shared" si="0"/>
        <v>1</v>
      </c>
      <c r="G122" s="3" t="s">
        <v>94</v>
      </c>
      <c r="H122" s="3">
        <f t="shared" si="1"/>
        <v>1</v>
      </c>
      <c r="I122" s="3" t="s">
        <v>95</v>
      </c>
      <c r="J122" s="3" t="s">
        <v>96</v>
      </c>
      <c r="M122" s="3" t="s">
        <v>371</v>
      </c>
      <c r="N122" s="3" t="s">
        <v>372</v>
      </c>
      <c r="O122" s="3" t="s">
        <v>373</v>
      </c>
      <c r="P122" s="3" t="s">
        <v>79</v>
      </c>
      <c r="Q122" s="3" t="s">
        <v>712</v>
      </c>
      <c r="R122" s="3" t="s">
        <v>200</v>
      </c>
      <c r="S122" s="18">
        <v>0</v>
      </c>
      <c r="T122" s="18">
        <v>18.89</v>
      </c>
      <c r="U122" s="18">
        <v>30.1</v>
      </c>
      <c r="V122" s="3" t="s">
        <v>101</v>
      </c>
      <c r="Z122" s="3" t="s">
        <v>264</v>
      </c>
      <c r="AC122" s="3" t="s">
        <v>102</v>
      </c>
      <c r="AD122" s="6">
        <v>18.461950000000002</v>
      </c>
      <c r="AE122" s="6">
        <v>-66.904003000000003</v>
      </c>
      <c r="AG122" s="3" t="s">
        <v>713</v>
      </c>
      <c r="AH122" s="3">
        <v>2003</v>
      </c>
      <c r="AI122" s="3">
        <v>4</v>
      </c>
      <c r="AJ122" s="8">
        <v>16</v>
      </c>
      <c r="AK122" s="3">
        <v>2003</v>
      </c>
      <c r="AL122" s="3">
        <v>4</v>
      </c>
      <c r="AM122" s="3">
        <v>22</v>
      </c>
      <c r="AN122" s="29">
        <v>2</v>
      </c>
      <c r="AP122" s="3">
        <v>2405</v>
      </c>
      <c r="AR122" s="3">
        <v>2405</v>
      </c>
      <c r="AY122" s="3">
        <v>62.858459500041299</v>
      </c>
      <c r="AZ122" s="3" t="s">
        <v>82</v>
      </c>
      <c r="BB122" s="3" t="s">
        <v>714</v>
      </c>
      <c r="BC122" s="3" t="s">
        <v>715</v>
      </c>
      <c r="BD122" s="8">
        <v>4</v>
      </c>
    </row>
    <row r="123" spans="1:56" ht="14.25" customHeight="1" thickBot="1">
      <c r="A123" s="3" t="s">
        <v>716</v>
      </c>
      <c r="B123" s="3" t="s">
        <v>333</v>
      </c>
      <c r="C123" s="3" t="s">
        <v>717</v>
      </c>
      <c r="E123" s="3" t="s">
        <v>71</v>
      </c>
      <c r="F123" s="3">
        <f t="shared" si="0"/>
        <v>1</v>
      </c>
      <c r="G123" s="3" t="s">
        <v>94</v>
      </c>
      <c r="H123" s="3">
        <f t="shared" si="1"/>
        <v>1</v>
      </c>
      <c r="I123" s="3" t="s">
        <v>95</v>
      </c>
      <c r="J123" s="3" t="s">
        <v>96</v>
      </c>
      <c r="M123" s="3" t="s">
        <v>97</v>
      </c>
      <c r="N123" s="3" t="s">
        <v>98</v>
      </c>
      <c r="O123" s="3" t="s">
        <v>78</v>
      </c>
      <c r="P123" s="3" t="s">
        <v>79</v>
      </c>
      <c r="Q123" s="3" t="s">
        <v>718</v>
      </c>
      <c r="R123" s="3" t="s">
        <v>200</v>
      </c>
      <c r="S123" s="18">
        <v>0</v>
      </c>
      <c r="T123" s="18">
        <v>23.41</v>
      </c>
      <c r="U123" s="18">
        <v>34.200000000000003</v>
      </c>
      <c r="V123" s="3" t="s">
        <v>683</v>
      </c>
      <c r="AB123" s="3">
        <v>150500</v>
      </c>
      <c r="AC123" s="3" t="s">
        <v>102</v>
      </c>
      <c r="AD123" s="10">
        <v>39.849789999999999</v>
      </c>
      <c r="AE123" s="11">
        <v>-88.951389000000006</v>
      </c>
      <c r="AG123" s="3" t="s">
        <v>719</v>
      </c>
      <c r="AH123" s="3">
        <v>2003</v>
      </c>
      <c r="AI123" s="3">
        <v>7</v>
      </c>
      <c r="AJ123" s="8">
        <v>5</v>
      </c>
      <c r="AK123" s="3">
        <v>2003</v>
      </c>
      <c r="AL123" s="3">
        <v>7</v>
      </c>
      <c r="AM123" s="3">
        <v>21</v>
      </c>
      <c r="AN123" s="29">
        <v>3</v>
      </c>
      <c r="AP123" s="3">
        <v>1200</v>
      </c>
      <c r="AR123" s="3">
        <v>1200</v>
      </c>
      <c r="AW123" s="3">
        <v>106000</v>
      </c>
      <c r="AX123" s="3">
        <v>168633</v>
      </c>
      <c r="AY123" s="3">
        <v>62.858459500041299</v>
      </c>
      <c r="AZ123" s="3" t="s">
        <v>82</v>
      </c>
      <c r="BB123" s="3" t="s">
        <v>720</v>
      </c>
      <c r="BC123" s="3" t="s">
        <v>721</v>
      </c>
      <c r="BD123" s="8">
        <v>4</v>
      </c>
    </row>
    <row r="124" spans="1:56" ht="14.25" customHeight="1" thickBot="1">
      <c r="A124" s="3" t="s">
        <v>722</v>
      </c>
      <c r="B124" s="3" t="s">
        <v>333</v>
      </c>
      <c r="C124" s="3" t="s">
        <v>723</v>
      </c>
      <c r="E124" s="3" t="s">
        <v>71</v>
      </c>
      <c r="F124" s="3">
        <f t="shared" si="0"/>
        <v>2</v>
      </c>
      <c r="G124" s="3" t="s">
        <v>72</v>
      </c>
      <c r="H124" s="3">
        <f t="shared" si="1"/>
        <v>2</v>
      </c>
      <c r="I124" s="3" t="s">
        <v>73</v>
      </c>
      <c r="J124" s="3" t="s">
        <v>212</v>
      </c>
      <c r="L124" s="3" t="s">
        <v>724</v>
      </c>
      <c r="M124" s="3" t="s">
        <v>371</v>
      </c>
      <c r="N124" s="3" t="s">
        <v>372</v>
      </c>
      <c r="O124" s="3" t="s">
        <v>373</v>
      </c>
      <c r="P124" s="3" t="s">
        <v>79</v>
      </c>
      <c r="Q124" s="3" t="s">
        <v>725</v>
      </c>
      <c r="S124" s="18">
        <v>0</v>
      </c>
      <c r="T124" s="18">
        <v>19.260000000000002</v>
      </c>
      <c r="U124" s="18">
        <v>28</v>
      </c>
      <c r="V124" s="3" t="s">
        <v>95</v>
      </c>
      <c r="AC124" s="3" t="s">
        <v>81</v>
      </c>
      <c r="AD124" s="6">
        <v>18.468679999999999</v>
      </c>
      <c r="AE124" s="6">
        <v>-67.154452000000006</v>
      </c>
      <c r="AH124" s="3">
        <v>2003</v>
      </c>
      <c r="AI124" s="3">
        <v>12</v>
      </c>
      <c r="AJ124" s="8">
        <v>9</v>
      </c>
      <c r="AK124" s="3">
        <v>2003</v>
      </c>
      <c r="AL124" s="3">
        <v>12</v>
      </c>
      <c r="AM124" s="3">
        <v>9</v>
      </c>
      <c r="AN124" s="29">
        <v>0</v>
      </c>
      <c r="AQ124" s="3">
        <v>100</v>
      </c>
      <c r="AR124" s="3">
        <v>100</v>
      </c>
      <c r="AY124" s="3">
        <v>62.858459500041299</v>
      </c>
      <c r="AZ124" s="3" t="s">
        <v>89</v>
      </c>
      <c r="BA124" s="3" t="s">
        <v>726</v>
      </c>
      <c r="BC124" s="3" t="s">
        <v>727</v>
      </c>
      <c r="BD124" s="8">
        <v>3</v>
      </c>
    </row>
    <row r="125" spans="1:56" ht="14.25" customHeight="1" thickBot="1">
      <c r="A125" s="3" t="s">
        <v>728</v>
      </c>
      <c r="B125" s="3" t="s">
        <v>333</v>
      </c>
      <c r="C125" s="3" t="s">
        <v>669</v>
      </c>
      <c r="E125" s="3" t="s">
        <v>71</v>
      </c>
      <c r="F125" s="3">
        <f t="shared" si="0"/>
        <v>2</v>
      </c>
      <c r="G125" s="3" t="s">
        <v>72</v>
      </c>
      <c r="H125" s="3">
        <f t="shared" si="1"/>
        <v>2</v>
      </c>
      <c r="I125" s="3" t="s">
        <v>73</v>
      </c>
      <c r="J125" s="3" t="s">
        <v>212</v>
      </c>
      <c r="L125" s="3" t="s">
        <v>670</v>
      </c>
      <c r="M125" s="3" t="s">
        <v>97</v>
      </c>
      <c r="N125" s="3" t="s">
        <v>98</v>
      </c>
      <c r="O125" s="3" t="s">
        <v>78</v>
      </c>
      <c r="P125" s="3" t="s">
        <v>79</v>
      </c>
      <c r="Q125" s="3" t="s">
        <v>729</v>
      </c>
      <c r="S125" s="18">
        <v>37.21</v>
      </c>
      <c r="T125" s="18">
        <v>15.68</v>
      </c>
      <c r="U125" s="18">
        <v>21.73</v>
      </c>
      <c r="V125" s="3" t="s">
        <v>95</v>
      </c>
      <c r="Z125" s="3" t="s">
        <v>264</v>
      </c>
      <c r="AB125" s="3">
        <v>170</v>
      </c>
      <c r="AC125" s="3" t="s">
        <v>81</v>
      </c>
      <c r="AD125" s="6">
        <v>35.672960000000003</v>
      </c>
      <c r="AE125" s="6">
        <v>-79.039292000000003</v>
      </c>
      <c r="AH125" s="3">
        <v>2003</v>
      </c>
      <c r="AI125" s="3">
        <v>9</v>
      </c>
      <c r="AJ125" s="8">
        <v>18</v>
      </c>
      <c r="AK125" s="3">
        <v>2003</v>
      </c>
      <c r="AL125" s="3">
        <v>9</v>
      </c>
      <c r="AM125" s="3">
        <v>22</v>
      </c>
      <c r="AN125" s="29">
        <v>16</v>
      </c>
      <c r="AP125" s="3">
        <v>225000</v>
      </c>
      <c r="AR125" s="3">
        <v>225000</v>
      </c>
      <c r="AU125" s="3">
        <v>1685000</v>
      </c>
      <c r="AV125" s="3">
        <v>2680626</v>
      </c>
      <c r="AW125" s="3">
        <v>3370000</v>
      </c>
      <c r="AX125" s="3">
        <v>5361251</v>
      </c>
      <c r="AY125" s="3">
        <v>62.858459500041299</v>
      </c>
      <c r="AZ125" s="3" t="s">
        <v>89</v>
      </c>
      <c r="BA125" s="3" t="s">
        <v>730</v>
      </c>
      <c r="BC125" s="3" t="s">
        <v>731</v>
      </c>
      <c r="BD125" s="8">
        <v>6</v>
      </c>
    </row>
    <row r="126" spans="1:56" ht="14.25" customHeight="1" thickBot="1">
      <c r="A126" s="3" t="s">
        <v>732</v>
      </c>
      <c r="B126" s="3" t="s">
        <v>333</v>
      </c>
      <c r="C126" s="3" t="s">
        <v>733</v>
      </c>
      <c r="E126" s="3" t="s">
        <v>71</v>
      </c>
      <c r="F126" s="3">
        <f t="shared" si="0"/>
        <v>2</v>
      </c>
      <c r="G126" s="3" t="s">
        <v>72</v>
      </c>
      <c r="H126" s="3">
        <f t="shared" si="1"/>
        <v>2</v>
      </c>
      <c r="I126" s="3" t="s">
        <v>73</v>
      </c>
      <c r="J126" s="3" t="s">
        <v>212</v>
      </c>
      <c r="L126" s="3" t="s">
        <v>734</v>
      </c>
      <c r="M126" s="3" t="s">
        <v>97</v>
      </c>
      <c r="N126" s="3" t="s">
        <v>98</v>
      </c>
      <c r="O126" s="3" t="s">
        <v>78</v>
      </c>
      <c r="P126" s="3" t="s">
        <v>79</v>
      </c>
      <c r="Q126" s="3" t="s">
        <v>735</v>
      </c>
      <c r="S126" s="18">
        <v>0</v>
      </c>
      <c r="T126" s="18">
        <v>15.02</v>
      </c>
      <c r="U126" s="18">
        <v>24.22</v>
      </c>
      <c r="V126" s="3" t="s">
        <v>95</v>
      </c>
      <c r="Z126" s="3" t="s">
        <v>264</v>
      </c>
      <c r="AB126" s="3">
        <v>95</v>
      </c>
      <c r="AC126" s="3" t="s">
        <v>81</v>
      </c>
      <c r="AD126" s="6">
        <v>43.224449999999997</v>
      </c>
      <c r="AE126" s="6">
        <v>-78.227283</v>
      </c>
      <c r="AH126" s="3">
        <v>2003</v>
      </c>
      <c r="AI126" s="3">
        <v>6</v>
      </c>
      <c r="AJ126" s="8">
        <v>30</v>
      </c>
      <c r="AK126" s="3">
        <v>2003</v>
      </c>
      <c r="AL126" s="3">
        <v>6</v>
      </c>
      <c r="AM126" s="3">
        <v>30</v>
      </c>
      <c r="AN126" s="29">
        <v>4</v>
      </c>
      <c r="AO126" s="3">
        <v>4</v>
      </c>
      <c r="AR126" s="3">
        <v>4</v>
      </c>
      <c r="AU126" s="3">
        <v>22000</v>
      </c>
      <c r="AV126" s="3">
        <v>34999</v>
      </c>
      <c r="AW126" s="3">
        <v>50000</v>
      </c>
      <c r="AX126" s="3">
        <v>79544</v>
      </c>
      <c r="AY126" s="3">
        <v>62.858459500041299</v>
      </c>
      <c r="AZ126" s="3" t="s">
        <v>82</v>
      </c>
      <c r="BB126" s="3" t="s">
        <v>736</v>
      </c>
      <c r="BC126" s="3" t="s">
        <v>737</v>
      </c>
      <c r="BD126" s="8">
        <v>1</v>
      </c>
    </row>
    <row r="127" spans="1:56" ht="14.25" customHeight="1" thickBot="1">
      <c r="A127" s="3" t="s">
        <v>738</v>
      </c>
      <c r="B127" s="3" t="s">
        <v>333</v>
      </c>
      <c r="C127" s="3" t="s">
        <v>739</v>
      </c>
      <c r="E127" s="3" t="s">
        <v>71</v>
      </c>
      <c r="F127" s="3">
        <f t="shared" si="0"/>
        <v>2</v>
      </c>
      <c r="G127" s="3" t="s">
        <v>72</v>
      </c>
      <c r="H127" s="3">
        <f t="shared" si="1"/>
        <v>2</v>
      </c>
      <c r="I127" s="3" t="s">
        <v>73</v>
      </c>
      <c r="M127" s="3" t="s">
        <v>97</v>
      </c>
      <c r="N127" s="3" t="s">
        <v>98</v>
      </c>
      <c r="O127" s="3" t="s">
        <v>78</v>
      </c>
      <c r="P127" s="3" t="s">
        <v>79</v>
      </c>
      <c r="Q127" s="3" t="s">
        <v>740</v>
      </c>
      <c r="R127" s="3" t="s">
        <v>741</v>
      </c>
      <c r="S127" s="18">
        <v>27.99</v>
      </c>
      <c r="T127" s="18">
        <v>-8.25</v>
      </c>
      <c r="U127" s="18">
        <v>1.92</v>
      </c>
      <c r="V127" s="3" t="s">
        <v>95</v>
      </c>
      <c r="AB127" s="3">
        <v>36130</v>
      </c>
      <c r="AC127" s="3" t="s">
        <v>81</v>
      </c>
      <c r="AD127" s="6">
        <v>38.475839999999998</v>
      </c>
      <c r="AE127" s="6">
        <v>-80.840840999999998</v>
      </c>
      <c r="AH127" s="3">
        <v>2003</v>
      </c>
      <c r="AI127" s="3">
        <v>2</v>
      </c>
      <c r="AJ127" s="8">
        <v>15</v>
      </c>
      <c r="AK127" s="3">
        <v>2003</v>
      </c>
      <c r="AL127" s="3">
        <v>2</v>
      </c>
      <c r="AM127" s="3">
        <v>23</v>
      </c>
      <c r="AN127" s="29">
        <v>4</v>
      </c>
      <c r="AO127" s="3">
        <v>18</v>
      </c>
      <c r="AP127" s="3">
        <v>100</v>
      </c>
      <c r="AR127" s="3">
        <v>118</v>
      </c>
      <c r="AU127" s="3">
        <v>300000</v>
      </c>
      <c r="AV127" s="3">
        <v>477263</v>
      </c>
      <c r="AW127" s="3">
        <v>400000</v>
      </c>
      <c r="AX127" s="3">
        <v>636350</v>
      </c>
      <c r="AY127" s="3">
        <v>62.858459500041299</v>
      </c>
      <c r="AZ127" s="3" t="s">
        <v>206</v>
      </c>
      <c r="BA127" s="3" t="s">
        <v>742</v>
      </c>
      <c r="BB127" s="3" t="s">
        <v>743</v>
      </c>
      <c r="BC127" s="3" t="s">
        <v>744</v>
      </c>
      <c r="BD127" s="8">
        <v>3</v>
      </c>
    </row>
    <row r="128" spans="1:56" ht="14.25" customHeight="1" thickBot="1">
      <c r="A128" s="3" t="s">
        <v>745</v>
      </c>
      <c r="B128" s="3" t="s">
        <v>333</v>
      </c>
      <c r="C128" s="3" t="s">
        <v>589</v>
      </c>
      <c r="E128" s="3" t="s">
        <v>71</v>
      </c>
      <c r="F128" s="3">
        <f t="shared" si="0"/>
        <v>2</v>
      </c>
      <c r="G128" s="3" t="s">
        <v>72</v>
      </c>
      <c r="H128" s="3">
        <f t="shared" si="1"/>
        <v>2</v>
      </c>
      <c r="I128" s="3" t="s">
        <v>73</v>
      </c>
      <c r="J128" s="3" t="s">
        <v>74</v>
      </c>
      <c r="K128" s="3" t="s">
        <v>127</v>
      </c>
      <c r="M128" s="3" t="s">
        <v>97</v>
      </c>
      <c r="N128" s="3" t="s">
        <v>98</v>
      </c>
      <c r="O128" s="3" t="s">
        <v>78</v>
      </c>
      <c r="P128" s="3" t="s">
        <v>79</v>
      </c>
      <c r="Q128" s="3" t="s">
        <v>746</v>
      </c>
      <c r="S128" s="18">
        <v>0</v>
      </c>
      <c r="T128" s="18">
        <v>-5.69</v>
      </c>
      <c r="U128" s="18">
        <v>-1.3</v>
      </c>
      <c r="V128" s="3" t="s">
        <v>129</v>
      </c>
      <c r="AC128" s="3" t="s">
        <v>81</v>
      </c>
      <c r="AD128" s="6">
        <v>40.969990000000003</v>
      </c>
      <c r="AE128" s="6">
        <v>-77.727883000000006</v>
      </c>
      <c r="AH128" s="3">
        <v>2003</v>
      </c>
      <c r="AI128" s="3">
        <v>12</v>
      </c>
      <c r="AJ128" s="8">
        <v>6</v>
      </c>
      <c r="AK128" s="3">
        <v>2003</v>
      </c>
      <c r="AL128" s="3">
        <v>12</v>
      </c>
      <c r="AM128" s="3">
        <v>7</v>
      </c>
      <c r="AN128" s="29">
        <v>13</v>
      </c>
      <c r="AY128" s="3">
        <v>62.858459500041299</v>
      </c>
      <c r="AZ128" s="3" t="s">
        <v>89</v>
      </c>
      <c r="BA128" s="3" t="s">
        <v>747</v>
      </c>
      <c r="BC128" s="3" t="s">
        <v>748</v>
      </c>
      <c r="BD128" s="8">
        <v>0</v>
      </c>
    </row>
    <row r="129" spans="1:56" ht="14.25" customHeight="1" thickBot="1">
      <c r="A129" s="3" t="s">
        <v>749</v>
      </c>
      <c r="B129" s="3" t="s">
        <v>333</v>
      </c>
      <c r="C129" s="3" t="s">
        <v>750</v>
      </c>
      <c r="E129" s="3" t="s">
        <v>71</v>
      </c>
      <c r="F129" s="3">
        <f t="shared" si="0"/>
        <v>2</v>
      </c>
      <c r="G129" s="3" t="s">
        <v>72</v>
      </c>
      <c r="H129" s="3">
        <f t="shared" si="1"/>
        <v>2</v>
      </c>
      <c r="I129" s="3" t="s">
        <v>73</v>
      </c>
      <c r="J129" s="3" t="s">
        <v>74</v>
      </c>
      <c r="K129" s="3" t="s">
        <v>75</v>
      </c>
      <c r="M129" s="3" t="s">
        <v>97</v>
      </c>
      <c r="N129" s="3" t="s">
        <v>98</v>
      </c>
      <c r="O129" s="3" t="s">
        <v>78</v>
      </c>
      <c r="P129" s="3" t="s">
        <v>79</v>
      </c>
      <c r="Q129" s="3" t="s">
        <v>751</v>
      </c>
      <c r="S129" s="18">
        <v>0</v>
      </c>
      <c r="T129" s="18">
        <v>12.79</v>
      </c>
      <c r="U129" s="18">
        <v>25.31</v>
      </c>
      <c r="Z129" s="3" t="s">
        <v>264</v>
      </c>
      <c r="AC129" s="3" t="s">
        <v>81</v>
      </c>
      <c r="AD129" s="6">
        <v>34.037889999999997</v>
      </c>
      <c r="AE129" s="6">
        <v>-83.212652000000006</v>
      </c>
      <c r="AH129" s="3">
        <v>2003</v>
      </c>
      <c r="AI129" s="3">
        <v>5</v>
      </c>
      <c r="AJ129" s="8">
        <v>4</v>
      </c>
      <c r="AK129" s="3">
        <v>2003</v>
      </c>
      <c r="AL129" s="3">
        <v>5</v>
      </c>
      <c r="AM129" s="3">
        <v>10</v>
      </c>
      <c r="AN129" s="29">
        <v>45</v>
      </c>
      <c r="AO129" s="3">
        <v>145</v>
      </c>
      <c r="AQ129" s="3">
        <v>15000</v>
      </c>
      <c r="AR129" s="3">
        <v>15145</v>
      </c>
      <c r="AU129" s="3">
        <v>3200000</v>
      </c>
      <c r="AV129" s="3">
        <v>5090802</v>
      </c>
      <c r="AW129" s="3">
        <v>4000000</v>
      </c>
      <c r="AX129" s="3">
        <v>6363503</v>
      </c>
      <c r="AY129" s="3">
        <v>62.858459500041299</v>
      </c>
      <c r="AZ129" s="3" t="s">
        <v>82</v>
      </c>
      <c r="BB129" s="3" t="s">
        <v>752</v>
      </c>
      <c r="BC129" s="3" t="s">
        <v>753</v>
      </c>
      <c r="BD129" s="8">
        <v>5</v>
      </c>
    </row>
    <row r="130" spans="1:56" ht="14.25" customHeight="1" thickBot="1">
      <c r="A130" s="3" t="s">
        <v>754</v>
      </c>
      <c r="B130" s="3" t="s">
        <v>333</v>
      </c>
      <c r="C130" s="3" t="s">
        <v>755</v>
      </c>
      <c r="E130" s="3" t="s">
        <v>71</v>
      </c>
      <c r="F130" s="3">
        <f t="shared" si="0"/>
        <v>2</v>
      </c>
      <c r="G130" s="3" t="s">
        <v>72</v>
      </c>
      <c r="H130" s="3">
        <f t="shared" si="1"/>
        <v>2</v>
      </c>
      <c r="I130" s="3" t="s">
        <v>73</v>
      </c>
      <c r="J130" s="3" t="s">
        <v>74</v>
      </c>
      <c r="K130" s="3" t="s">
        <v>75</v>
      </c>
      <c r="M130" s="3" t="s">
        <v>97</v>
      </c>
      <c r="N130" s="3" t="s">
        <v>98</v>
      </c>
      <c r="O130" s="3" t="s">
        <v>78</v>
      </c>
      <c r="P130" s="3" t="s">
        <v>79</v>
      </c>
      <c r="Q130" s="3" t="s">
        <v>756</v>
      </c>
      <c r="S130" s="18">
        <v>15.35</v>
      </c>
      <c r="T130" s="18">
        <v>23.98</v>
      </c>
      <c r="U130" s="18">
        <v>32.56</v>
      </c>
      <c r="AC130" s="3" t="s">
        <v>81</v>
      </c>
      <c r="AD130" s="10">
        <v>26.698450000000001</v>
      </c>
      <c r="AE130" s="11">
        <v>-80.057310000000001</v>
      </c>
      <c r="AH130" s="3">
        <v>2003</v>
      </c>
      <c r="AI130" s="3">
        <v>8</v>
      </c>
      <c r="AJ130" s="8">
        <v>8</v>
      </c>
      <c r="AK130" s="3">
        <v>2003</v>
      </c>
      <c r="AL130" s="3">
        <v>8</v>
      </c>
      <c r="AM130" s="3">
        <v>8</v>
      </c>
      <c r="AN130" s="29">
        <v>0</v>
      </c>
      <c r="AP130" s="3">
        <v>1500</v>
      </c>
      <c r="AR130" s="3">
        <v>1500</v>
      </c>
      <c r="AY130" s="3">
        <v>62.858459500041299</v>
      </c>
      <c r="AZ130" s="3" t="s">
        <v>82</v>
      </c>
      <c r="BB130" s="3" t="s">
        <v>757</v>
      </c>
      <c r="BC130" s="3" t="s">
        <v>758</v>
      </c>
      <c r="BD130" s="8">
        <v>4</v>
      </c>
    </row>
    <row r="131" spans="1:56" ht="14.25" customHeight="1" thickBot="1">
      <c r="A131" s="3" t="s">
        <v>759</v>
      </c>
      <c r="B131" s="3" t="s">
        <v>333</v>
      </c>
      <c r="C131" s="3" t="s">
        <v>760</v>
      </c>
      <c r="E131" s="3" t="s">
        <v>71</v>
      </c>
      <c r="F131" s="3">
        <f t="shared" si="0"/>
        <v>2</v>
      </c>
      <c r="G131" s="3" t="s">
        <v>72</v>
      </c>
      <c r="H131" s="3">
        <f t="shared" si="1"/>
        <v>2</v>
      </c>
      <c r="I131" s="3" t="s">
        <v>73</v>
      </c>
      <c r="J131" s="3" t="s">
        <v>74</v>
      </c>
      <c r="K131" s="3" t="s">
        <v>75</v>
      </c>
      <c r="M131" s="3" t="s">
        <v>97</v>
      </c>
      <c r="N131" s="3" t="s">
        <v>98</v>
      </c>
      <c r="O131" s="3" t="s">
        <v>78</v>
      </c>
      <c r="P131" s="3" t="s">
        <v>79</v>
      </c>
      <c r="Q131" s="3" t="s">
        <v>761</v>
      </c>
      <c r="S131" s="18">
        <v>0</v>
      </c>
      <c r="T131" s="18">
        <v>9.82</v>
      </c>
      <c r="U131" s="18">
        <v>23.94</v>
      </c>
      <c r="AC131" s="3" t="s">
        <v>81</v>
      </c>
      <c r="AD131" s="14">
        <v>38.344270999999999</v>
      </c>
      <c r="AE131" s="11">
        <v>-88.590783999999999</v>
      </c>
      <c r="AH131" s="3">
        <v>2003</v>
      </c>
      <c r="AI131" s="3">
        <v>5</v>
      </c>
      <c r="AJ131" s="8">
        <v>30</v>
      </c>
      <c r="AK131" s="3">
        <v>2003</v>
      </c>
      <c r="AL131" s="3">
        <v>5</v>
      </c>
      <c r="AM131" s="3">
        <v>30</v>
      </c>
      <c r="AN131" s="29">
        <v>0</v>
      </c>
      <c r="AP131" s="3">
        <v>150</v>
      </c>
      <c r="AQ131" s="3">
        <v>45</v>
      </c>
      <c r="AR131" s="3">
        <v>195</v>
      </c>
      <c r="AY131" s="3">
        <v>62.858459500041299</v>
      </c>
      <c r="AZ131" s="3" t="s">
        <v>82</v>
      </c>
      <c r="BB131" s="3" t="s">
        <v>762</v>
      </c>
      <c r="BC131" s="3" t="s">
        <v>763</v>
      </c>
      <c r="BD131" s="8">
        <v>3</v>
      </c>
    </row>
    <row r="132" spans="1:56" ht="14.25" customHeight="1" thickBot="1">
      <c r="A132" s="3" t="s">
        <v>764</v>
      </c>
      <c r="B132" s="3" t="s">
        <v>333</v>
      </c>
      <c r="C132" s="3" t="s">
        <v>765</v>
      </c>
      <c r="E132" s="3" t="s">
        <v>71</v>
      </c>
      <c r="F132" s="3">
        <f t="shared" si="0"/>
        <v>5</v>
      </c>
      <c r="G132" s="3" t="s">
        <v>175</v>
      </c>
      <c r="H132" s="3">
        <f t="shared" si="1"/>
        <v>6</v>
      </c>
      <c r="I132" s="3" t="s">
        <v>176</v>
      </c>
      <c r="J132" s="3" t="s">
        <v>177</v>
      </c>
      <c r="M132" s="3" t="s">
        <v>97</v>
      </c>
      <c r="N132" s="3" t="s">
        <v>98</v>
      </c>
      <c r="O132" s="3" t="s">
        <v>78</v>
      </c>
      <c r="P132" s="3" t="s">
        <v>79</v>
      </c>
      <c r="Q132" s="3" t="s">
        <v>766</v>
      </c>
      <c r="S132" s="18">
        <v>0</v>
      </c>
      <c r="T132" s="18">
        <v>6.34</v>
      </c>
      <c r="U132" s="18">
        <v>13.93</v>
      </c>
      <c r="Z132" s="3" t="s">
        <v>264</v>
      </c>
      <c r="AB132" s="3">
        <v>7</v>
      </c>
      <c r="AC132" s="3" t="s">
        <v>179</v>
      </c>
      <c r="AD132" s="8">
        <v>35.700499999999998</v>
      </c>
      <c r="AE132" s="8">
        <v>-121.1005</v>
      </c>
      <c r="AF132" s="3" t="s">
        <v>767</v>
      </c>
      <c r="AH132" s="3">
        <v>2003</v>
      </c>
      <c r="AI132" s="3">
        <v>12</v>
      </c>
      <c r="AJ132" s="8">
        <v>22</v>
      </c>
      <c r="AK132" s="3">
        <v>2003</v>
      </c>
      <c r="AL132" s="3">
        <v>12</v>
      </c>
      <c r="AM132" s="3">
        <v>22</v>
      </c>
      <c r="AN132" s="29">
        <v>2</v>
      </c>
      <c r="AO132" s="3">
        <v>40</v>
      </c>
      <c r="AQ132" s="3">
        <v>120</v>
      </c>
      <c r="AR132" s="3">
        <v>160</v>
      </c>
      <c r="AW132" s="3">
        <v>200000</v>
      </c>
      <c r="AX132" s="3">
        <v>318175</v>
      </c>
      <c r="AY132" s="3">
        <v>62.858459500041299</v>
      </c>
      <c r="AZ132" s="3" t="s">
        <v>82</v>
      </c>
      <c r="BB132" s="3" t="s">
        <v>768</v>
      </c>
      <c r="BC132" s="3" t="s">
        <v>769</v>
      </c>
      <c r="BD132" s="8">
        <v>3</v>
      </c>
    </row>
    <row r="133" spans="1:56" ht="14.25" customHeight="1" thickBot="1">
      <c r="A133" s="3" t="s">
        <v>770</v>
      </c>
      <c r="B133" s="3" t="s">
        <v>333</v>
      </c>
      <c r="C133" s="3" t="s">
        <v>771</v>
      </c>
      <c r="E133" s="3" t="s">
        <v>71</v>
      </c>
      <c r="F133" s="3">
        <f t="shared" si="0"/>
        <v>1</v>
      </c>
      <c r="G133" s="3" t="s">
        <v>94</v>
      </c>
      <c r="H133" s="3">
        <f t="shared" si="1"/>
        <v>1</v>
      </c>
      <c r="I133" s="3" t="s">
        <v>95</v>
      </c>
      <c r="J133" s="3" t="s">
        <v>185</v>
      </c>
      <c r="M133" s="3" t="s">
        <v>97</v>
      </c>
      <c r="N133" s="3" t="s">
        <v>98</v>
      </c>
      <c r="O133" s="3" t="s">
        <v>78</v>
      </c>
      <c r="P133" s="3" t="s">
        <v>79</v>
      </c>
      <c r="Q133" s="3" t="s">
        <v>772</v>
      </c>
      <c r="R133" s="3" t="s">
        <v>187</v>
      </c>
      <c r="S133" s="18">
        <v>10.16</v>
      </c>
      <c r="T133" s="18">
        <v>11.88</v>
      </c>
      <c r="U133" s="18">
        <v>21.44</v>
      </c>
      <c r="Z133" s="3" t="s">
        <v>264</v>
      </c>
      <c r="AB133" s="3">
        <v>250</v>
      </c>
      <c r="AC133" s="3" t="s">
        <v>102</v>
      </c>
      <c r="AD133" s="10">
        <v>34.019150000000003</v>
      </c>
      <c r="AE133" s="11">
        <v>-118.267234</v>
      </c>
      <c r="AH133" s="3">
        <v>2003</v>
      </c>
      <c r="AI133" s="3">
        <v>11</v>
      </c>
      <c r="AJ133" s="8">
        <v>12</v>
      </c>
      <c r="AK133" s="3">
        <v>2003</v>
      </c>
      <c r="AL133" s="3">
        <v>11</v>
      </c>
      <c r="AM133" s="3">
        <v>13</v>
      </c>
      <c r="AN133" s="29">
        <v>18</v>
      </c>
      <c r="AY133" s="3">
        <v>62.858459500041299</v>
      </c>
      <c r="AZ133" s="3" t="s">
        <v>82</v>
      </c>
      <c r="BB133" s="3" t="s">
        <v>591</v>
      </c>
      <c r="BC133" s="3" t="s">
        <v>592</v>
      </c>
      <c r="BD133" s="8">
        <v>0</v>
      </c>
    </row>
    <row r="134" spans="1:56" ht="14.25" customHeight="1" thickBot="1">
      <c r="A134" s="3" t="s">
        <v>773</v>
      </c>
      <c r="B134" s="3" t="s">
        <v>333</v>
      </c>
      <c r="C134" s="3" t="s">
        <v>663</v>
      </c>
      <c r="E134" s="3" t="s">
        <v>71</v>
      </c>
      <c r="F134" s="3">
        <f t="shared" si="0"/>
        <v>1</v>
      </c>
      <c r="G134" s="3" t="s">
        <v>94</v>
      </c>
      <c r="H134" s="3">
        <f t="shared" si="1"/>
        <v>1</v>
      </c>
      <c r="I134" s="3" t="s">
        <v>95</v>
      </c>
      <c r="J134" s="3" t="s">
        <v>96</v>
      </c>
      <c r="M134" s="3" t="s">
        <v>97</v>
      </c>
      <c r="N134" s="3" t="s">
        <v>98</v>
      </c>
      <c r="O134" s="3" t="s">
        <v>78</v>
      </c>
      <c r="P134" s="3" t="s">
        <v>79</v>
      </c>
      <c r="Q134" s="3" t="s">
        <v>774</v>
      </c>
      <c r="R134" s="3" t="s">
        <v>200</v>
      </c>
      <c r="S134" s="18">
        <v>24.32</v>
      </c>
      <c r="T134" s="18">
        <v>8.25</v>
      </c>
      <c r="U134" s="18">
        <v>15.26</v>
      </c>
      <c r="AC134" s="3" t="s">
        <v>102</v>
      </c>
      <c r="AD134" s="6">
        <v>48.007469999999998</v>
      </c>
      <c r="AE134" s="6">
        <v>-121.73048799999999</v>
      </c>
      <c r="AG134" s="3" t="s">
        <v>775</v>
      </c>
      <c r="AH134" s="3">
        <v>2003</v>
      </c>
      <c r="AI134" s="3">
        <v>10</v>
      </c>
      <c r="AJ134" s="8">
        <v>17</v>
      </c>
      <c r="AK134" s="3">
        <v>2003</v>
      </c>
      <c r="AL134" s="3">
        <v>10</v>
      </c>
      <c r="AM134" s="3">
        <v>26</v>
      </c>
      <c r="AN134" s="29">
        <v>0</v>
      </c>
      <c r="AY134" s="3">
        <v>62.858459500041299</v>
      </c>
      <c r="AZ134" s="3" t="s">
        <v>82</v>
      </c>
      <c r="BB134" s="3" t="s">
        <v>776</v>
      </c>
      <c r="BC134" s="3" t="s">
        <v>777</v>
      </c>
      <c r="BD134" s="8">
        <v>0</v>
      </c>
    </row>
    <row r="135" spans="1:56" ht="14.25" customHeight="1" thickBot="1">
      <c r="A135" s="3" t="s">
        <v>778</v>
      </c>
      <c r="B135" s="3" t="s">
        <v>333</v>
      </c>
      <c r="C135" s="3" t="s">
        <v>163</v>
      </c>
      <c r="E135" s="3" t="s">
        <v>71</v>
      </c>
      <c r="F135" s="3">
        <f t="shared" si="0"/>
        <v>1</v>
      </c>
      <c r="G135" s="3" t="s">
        <v>94</v>
      </c>
      <c r="H135" s="3">
        <f t="shared" si="1"/>
        <v>1</v>
      </c>
      <c r="I135" s="3" t="s">
        <v>95</v>
      </c>
      <c r="J135" s="3" t="s">
        <v>96</v>
      </c>
      <c r="M135" s="3" t="s">
        <v>97</v>
      </c>
      <c r="N135" s="3" t="s">
        <v>98</v>
      </c>
      <c r="O135" s="3" t="s">
        <v>78</v>
      </c>
      <c r="P135" s="3" t="s">
        <v>79</v>
      </c>
      <c r="Q135" s="3" t="s">
        <v>779</v>
      </c>
      <c r="R135" s="3" t="s">
        <v>200</v>
      </c>
      <c r="S135" s="18">
        <v>45.3</v>
      </c>
      <c r="T135" s="18">
        <v>16.22</v>
      </c>
      <c r="U135" s="18">
        <v>23.76</v>
      </c>
      <c r="AB135" s="3">
        <v>272100</v>
      </c>
      <c r="AC135" s="3" t="s">
        <v>102</v>
      </c>
      <c r="AD135" s="6">
        <v>35.773009999999999</v>
      </c>
      <c r="AE135" s="6">
        <v>-86.282008000000005</v>
      </c>
      <c r="AH135" s="3">
        <v>2003</v>
      </c>
      <c r="AI135" s="3">
        <v>5</v>
      </c>
      <c r="AJ135" s="8">
        <v>6</v>
      </c>
      <c r="AK135" s="3">
        <v>2003</v>
      </c>
      <c r="AL135" s="3">
        <v>5</v>
      </c>
      <c r="AM135" s="3">
        <v>14</v>
      </c>
      <c r="AN135" s="29">
        <v>3</v>
      </c>
      <c r="AP135" s="3">
        <v>2000</v>
      </c>
      <c r="AR135" s="3">
        <v>2000</v>
      </c>
      <c r="AW135" s="3">
        <v>17000</v>
      </c>
      <c r="AX135" s="3">
        <v>27045</v>
      </c>
      <c r="AY135" s="3">
        <v>62.858459500041299</v>
      </c>
      <c r="AZ135" s="3" t="s">
        <v>89</v>
      </c>
      <c r="BA135" s="3" t="s">
        <v>780</v>
      </c>
      <c r="BC135" s="3" t="s">
        <v>781</v>
      </c>
      <c r="BD135" s="8">
        <v>4</v>
      </c>
    </row>
    <row r="136" spans="1:56" ht="14.25" customHeight="1" thickBot="1">
      <c r="A136" s="3" t="s">
        <v>782</v>
      </c>
      <c r="B136" s="3" t="s">
        <v>333</v>
      </c>
      <c r="C136" s="3" t="s">
        <v>783</v>
      </c>
      <c r="E136" s="3" t="s">
        <v>71</v>
      </c>
      <c r="F136" s="3">
        <f t="shared" si="0"/>
        <v>2</v>
      </c>
      <c r="G136" s="3" t="s">
        <v>72</v>
      </c>
      <c r="H136" s="3">
        <f t="shared" si="1"/>
        <v>2</v>
      </c>
      <c r="I136" s="3" t="s">
        <v>73</v>
      </c>
      <c r="J136" s="3" t="s">
        <v>74</v>
      </c>
      <c r="M136" s="3" t="s">
        <v>97</v>
      </c>
      <c r="N136" s="3" t="s">
        <v>98</v>
      </c>
      <c r="O136" s="3" t="s">
        <v>78</v>
      </c>
      <c r="P136" s="3" t="s">
        <v>79</v>
      </c>
      <c r="Q136" s="3" t="s">
        <v>784</v>
      </c>
      <c r="S136" s="18">
        <v>1.8</v>
      </c>
      <c r="T136" s="18">
        <v>4.3499999999999996</v>
      </c>
      <c r="U136" s="18">
        <v>21.14</v>
      </c>
      <c r="Z136" s="3" t="s">
        <v>264</v>
      </c>
      <c r="AC136" s="3" t="s">
        <v>81</v>
      </c>
      <c r="AD136" s="6">
        <v>30.08605</v>
      </c>
      <c r="AE136" s="6">
        <v>-94.101845999999995</v>
      </c>
      <c r="AH136" s="3">
        <v>2003</v>
      </c>
      <c r="AI136" s="3">
        <v>12</v>
      </c>
      <c r="AJ136" s="8">
        <v>15</v>
      </c>
      <c r="AK136" s="3">
        <v>2003</v>
      </c>
      <c r="AL136" s="3">
        <v>12</v>
      </c>
      <c r="AM136" s="3">
        <v>16</v>
      </c>
      <c r="AN136" s="29">
        <v>2</v>
      </c>
      <c r="AO136" s="3">
        <v>54</v>
      </c>
      <c r="AR136" s="3">
        <v>54</v>
      </c>
      <c r="AU136" s="3">
        <v>200000</v>
      </c>
      <c r="AV136" s="3">
        <v>318175</v>
      </c>
      <c r="AY136" s="3">
        <v>62.858459500041299</v>
      </c>
      <c r="AZ136" s="3" t="s">
        <v>206</v>
      </c>
      <c r="BA136" s="3" t="s">
        <v>785</v>
      </c>
      <c r="BB136" s="3" t="s">
        <v>786</v>
      </c>
      <c r="BC136" s="3" t="s">
        <v>787</v>
      </c>
      <c r="BD136" s="8">
        <v>2</v>
      </c>
    </row>
    <row r="137" spans="1:56" ht="14.25" customHeight="1" thickBot="1">
      <c r="A137" s="3" t="s">
        <v>788</v>
      </c>
      <c r="B137" s="3" t="s">
        <v>333</v>
      </c>
      <c r="C137" s="3" t="s">
        <v>789</v>
      </c>
      <c r="E137" s="3" t="s">
        <v>71</v>
      </c>
      <c r="F137" s="3">
        <f t="shared" si="0"/>
        <v>3</v>
      </c>
      <c r="G137" s="3" t="s">
        <v>119</v>
      </c>
      <c r="H137" s="3">
        <f t="shared" si="1"/>
        <v>3</v>
      </c>
      <c r="I137" s="3" t="s">
        <v>122</v>
      </c>
      <c r="J137" s="3" t="s">
        <v>227</v>
      </c>
      <c r="M137" s="3" t="s">
        <v>97</v>
      </c>
      <c r="N137" s="3" t="s">
        <v>98</v>
      </c>
      <c r="O137" s="3" t="s">
        <v>78</v>
      </c>
      <c r="P137" s="3" t="s">
        <v>79</v>
      </c>
      <c r="Q137" s="3" t="s">
        <v>790</v>
      </c>
      <c r="S137" s="18">
        <v>0</v>
      </c>
      <c r="T137" s="18">
        <v>22.07</v>
      </c>
      <c r="U137" s="18">
        <v>39.770000000000003</v>
      </c>
      <c r="AB137" s="3">
        <v>16</v>
      </c>
      <c r="AC137" s="3" t="s">
        <v>102</v>
      </c>
      <c r="AD137" s="10">
        <v>32.444070000000004</v>
      </c>
      <c r="AE137" s="11">
        <v>-110.99605200000001</v>
      </c>
      <c r="AH137" s="3">
        <v>2003</v>
      </c>
      <c r="AI137" s="3">
        <v>6</v>
      </c>
      <c r="AJ137" s="8">
        <v>17</v>
      </c>
      <c r="AK137" s="3">
        <v>2003</v>
      </c>
      <c r="AL137" s="3">
        <v>6</v>
      </c>
      <c r="AM137" s="3">
        <v>20</v>
      </c>
      <c r="AN137" s="29">
        <v>0</v>
      </c>
      <c r="AQ137" s="3">
        <v>750</v>
      </c>
      <c r="AR137" s="3">
        <v>750</v>
      </c>
      <c r="AY137" s="3">
        <v>62.858459500041299</v>
      </c>
      <c r="AZ137" s="3" t="s">
        <v>82</v>
      </c>
      <c r="BB137" s="3" t="s">
        <v>791</v>
      </c>
      <c r="BC137" s="3" t="s">
        <v>792</v>
      </c>
      <c r="BD137" s="8">
        <v>3</v>
      </c>
    </row>
    <row r="138" spans="1:56" ht="14.25" customHeight="1" thickBot="1">
      <c r="A138" s="3" t="s">
        <v>793</v>
      </c>
      <c r="B138" s="3" t="s">
        <v>333</v>
      </c>
      <c r="C138" s="3" t="s">
        <v>794</v>
      </c>
      <c r="E138" s="3" t="s">
        <v>71</v>
      </c>
      <c r="F138" s="3">
        <f t="shared" si="0"/>
        <v>3</v>
      </c>
      <c r="G138" s="3" t="s">
        <v>119</v>
      </c>
      <c r="H138" s="3">
        <f t="shared" si="1"/>
        <v>3</v>
      </c>
      <c r="I138" s="3" t="s">
        <v>122</v>
      </c>
      <c r="J138" s="3" t="s">
        <v>227</v>
      </c>
      <c r="M138" s="3" t="s">
        <v>97</v>
      </c>
      <c r="N138" s="3" t="s">
        <v>98</v>
      </c>
      <c r="O138" s="3" t="s">
        <v>78</v>
      </c>
      <c r="P138" s="3" t="s">
        <v>79</v>
      </c>
      <c r="Q138" s="3" t="s">
        <v>795</v>
      </c>
      <c r="S138" s="18">
        <v>0</v>
      </c>
      <c r="T138" s="18">
        <v>15.29</v>
      </c>
      <c r="U138" s="18">
        <v>33.450000000000003</v>
      </c>
      <c r="Z138" s="3" t="s">
        <v>264</v>
      </c>
      <c r="AB138" s="3">
        <v>1133</v>
      </c>
      <c r="AC138" s="3" t="s">
        <v>102</v>
      </c>
      <c r="AD138" s="6">
        <v>34.092230000000001</v>
      </c>
      <c r="AE138" s="6">
        <v>-117.43504799999999</v>
      </c>
      <c r="AH138" s="3">
        <v>2003</v>
      </c>
      <c r="AI138" s="3">
        <v>10</v>
      </c>
      <c r="AJ138" s="8">
        <v>25</v>
      </c>
      <c r="AK138" s="3">
        <v>2003</v>
      </c>
      <c r="AL138" s="3">
        <v>11</v>
      </c>
      <c r="AM138" s="3">
        <v>4</v>
      </c>
      <c r="AN138" s="29">
        <v>14</v>
      </c>
      <c r="AO138" s="3">
        <v>104</v>
      </c>
      <c r="AP138" s="3">
        <v>27000</v>
      </c>
      <c r="AR138" s="3">
        <v>27104</v>
      </c>
      <c r="AU138" s="3">
        <v>2000000</v>
      </c>
      <c r="AV138" s="3">
        <v>3181752</v>
      </c>
      <c r="AY138" s="3">
        <v>62.858459500041299</v>
      </c>
      <c r="AZ138" s="3" t="s">
        <v>82</v>
      </c>
      <c r="BB138" s="3" t="s">
        <v>796</v>
      </c>
      <c r="BC138" s="3" t="s">
        <v>797</v>
      </c>
      <c r="BD138" s="8">
        <v>5</v>
      </c>
    </row>
    <row r="139" spans="1:56" ht="14.25" customHeight="1" thickBot="1">
      <c r="A139" s="3" t="s">
        <v>798</v>
      </c>
      <c r="B139" s="3" t="s">
        <v>333</v>
      </c>
      <c r="C139" s="3" t="s">
        <v>799</v>
      </c>
      <c r="E139" s="3" t="s">
        <v>71</v>
      </c>
      <c r="F139" s="3">
        <f t="shared" si="0"/>
        <v>3</v>
      </c>
      <c r="G139" s="3" t="s">
        <v>119</v>
      </c>
      <c r="H139" s="3">
        <f t="shared" si="1"/>
        <v>3</v>
      </c>
      <c r="I139" s="3" t="s">
        <v>122</v>
      </c>
      <c r="J139" s="3" t="s">
        <v>227</v>
      </c>
      <c r="M139" s="3" t="s">
        <v>97</v>
      </c>
      <c r="N139" s="3" t="s">
        <v>98</v>
      </c>
      <c r="O139" s="3" t="s">
        <v>78</v>
      </c>
      <c r="P139" s="3" t="s">
        <v>79</v>
      </c>
      <c r="Q139" s="3" t="s">
        <v>800</v>
      </c>
      <c r="S139" s="18">
        <v>0</v>
      </c>
      <c r="T139" s="18">
        <v>17.54</v>
      </c>
      <c r="U139" s="18">
        <v>39.44</v>
      </c>
      <c r="AB139" s="3">
        <v>607</v>
      </c>
      <c r="AC139" s="3" t="s">
        <v>102</v>
      </c>
      <c r="AD139" s="6">
        <v>34.092230000000001</v>
      </c>
      <c r="AE139" s="6">
        <v>-117.43504799999999</v>
      </c>
      <c r="AH139" s="3">
        <v>2003</v>
      </c>
      <c r="AI139" s="3">
        <v>10</v>
      </c>
      <c r="AJ139" s="8">
        <v>21</v>
      </c>
      <c r="AK139" s="3">
        <v>2003</v>
      </c>
      <c r="AL139" s="3">
        <v>11</v>
      </c>
      <c r="AM139" s="3">
        <v>4</v>
      </c>
      <c r="AN139" s="29">
        <v>4</v>
      </c>
      <c r="AO139" s="3">
        <v>40</v>
      </c>
      <c r="AR139" s="3">
        <v>40</v>
      </c>
      <c r="AU139" s="3">
        <v>800000</v>
      </c>
      <c r="AV139" s="3">
        <v>1272701</v>
      </c>
      <c r="AW139" s="3">
        <v>3500000</v>
      </c>
      <c r="AX139" s="3">
        <v>5568065</v>
      </c>
      <c r="AY139" s="3">
        <v>62.858459500041299</v>
      </c>
      <c r="AZ139" s="3" t="s">
        <v>82</v>
      </c>
      <c r="BB139" s="3" t="s">
        <v>796</v>
      </c>
      <c r="BC139" s="3" t="s">
        <v>797</v>
      </c>
      <c r="BD139" s="8">
        <v>2</v>
      </c>
    </row>
    <row r="140" spans="1:56" ht="14.25" customHeight="1" thickBot="1">
      <c r="A140" s="3" t="s">
        <v>801</v>
      </c>
      <c r="B140" s="3" t="s">
        <v>333</v>
      </c>
      <c r="C140" s="3" t="s">
        <v>802</v>
      </c>
      <c r="E140" s="3" t="s">
        <v>71</v>
      </c>
      <c r="F140" s="3">
        <f t="shared" si="0"/>
        <v>1</v>
      </c>
      <c r="G140" s="3" t="s">
        <v>94</v>
      </c>
      <c r="H140" s="3">
        <f t="shared" si="1"/>
        <v>8</v>
      </c>
      <c r="I140" s="3" t="s">
        <v>803</v>
      </c>
      <c r="J140" s="3" t="s">
        <v>804</v>
      </c>
      <c r="M140" s="3" t="s">
        <v>97</v>
      </c>
      <c r="N140" s="3" t="s">
        <v>98</v>
      </c>
      <c r="O140" s="3" t="s">
        <v>78</v>
      </c>
      <c r="P140" s="3" t="s">
        <v>79</v>
      </c>
      <c r="Q140" s="3" t="s">
        <v>800</v>
      </c>
      <c r="R140" s="3" t="s">
        <v>200</v>
      </c>
      <c r="S140" s="18">
        <v>25.48</v>
      </c>
      <c r="T140" s="18">
        <v>7.21</v>
      </c>
      <c r="U140" s="18">
        <v>14.71</v>
      </c>
      <c r="AD140" s="6">
        <v>34.092230000000001</v>
      </c>
      <c r="AE140" s="6">
        <v>-117.43504799999999</v>
      </c>
      <c r="AH140" s="3">
        <v>2003</v>
      </c>
      <c r="AI140" s="3">
        <v>12</v>
      </c>
      <c r="AJ140" s="8">
        <v>25</v>
      </c>
      <c r="AK140" s="3">
        <v>2003</v>
      </c>
      <c r="AL140" s="3">
        <v>12</v>
      </c>
      <c r="AM140" s="3">
        <v>26</v>
      </c>
      <c r="AN140" s="29">
        <v>15</v>
      </c>
      <c r="AO140" s="3">
        <v>15</v>
      </c>
      <c r="AR140" s="3">
        <v>15</v>
      </c>
      <c r="AY140" s="3">
        <v>62.858459500041299</v>
      </c>
      <c r="AZ140" s="3" t="s">
        <v>82</v>
      </c>
      <c r="BB140" s="3" t="s">
        <v>796</v>
      </c>
      <c r="BC140" s="3" t="s">
        <v>797</v>
      </c>
      <c r="BD140" s="8">
        <v>2</v>
      </c>
    </row>
    <row r="141" spans="1:56" ht="14.25" customHeight="1" thickBot="1">
      <c r="A141" s="3" t="s">
        <v>805</v>
      </c>
      <c r="B141" s="3" t="s">
        <v>680</v>
      </c>
      <c r="C141" s="3" t="s">
        <v>806</v>
      </c>
      <c r="E141" s="3" t="s">
        <v>71</v>
      </c>
      <c r="F141" s="3">
        <f t="shared" si="0"/>
        <v>2</v>
      </c>
      <c r="G141" s="3" t="s">
        <v>72</v>
      </c>
      <c r="H141" s="3">
        <f t="shared" si="1"/>
        <v>2</v>
      </c>
      <c r="I141" s="3" t="s">
        <v>73</v>
      </c>
      <c r="J141" s="3" t="s">
        <v>74</v>
      </c>
      <c r="K141" s="3" t="s">
        <v>807</v>
      </c>
      <c r="M141" s="3" t="s">
        <v>97</v>
      </c>
      <c r="N141" s="3" t="s">
        <v>98</v>
      </c>
      <c r="O141" s="3" t="s">
        <v>78</v>
      </c>
      <c r="P141" s="3" t="s">
        <v>79</v>
      </c>
      <c r="Q141" s="3" t="s">
        <v>808</v>
      </c>
      <c r="S141" s="18">
        <v>0</v>
      </c>
      <c r="T141" s="18">
        <v>18.920000000000002</v>
      </c>
      <c r="U141" s="18">
        <v>33.4</v>
      </c>
      <c r="V141" s="3" t="s">
        <v>95</v>
      </c>
      <c r="W141" s="3" t="s">
        <v>355</v>
      </c>
      <c r="Z141" s="3" t="s">
        <v>264</v>
      </c>
      <c r="AC141" s="3" t="s">
        <v>81</v>
      </c>
      <c r="AD141" s="5">
        <v>31.0394315022759</v>
      </c>
      <c r="AE141" s="17">
        <v>-85.874918925296598</v>
      </c>
      <c r="AH141" s="3">
        <v>2004</v>
      </c>
      <c r="AI141" s="3">
        <v>5</v>
      </c>
      <c r="AJ141" s="8">
        <v>29</v>
      </c>
      <c r="AK141" s="3">
        <v>2004</v>
      </c>
      <c r="AL141" s="3">
        <v>6</v>
      </c>
      <c r="AM141" s="3">
        <v>2</v>
      </c>
      <c r="AN141" s="29">
        <v>10</v>
      </c>
      <c r="AP141" s="3">
        <v>1000</v>
      </c>
      <c r="AR141" s="3">
        <v>1000</v>
      </c>
      <c r="AU141" s="3">
        <v>450000</v>
      </c>
      <c r="AV141" s="3">
        <v>697228</v>
      </c>
      <c r="AW141" s="3">
        <v>700000</v>
      </c>
      <c r="AX141" s="3">
        <v>1084576</v>
      </c>
      <c r="AY141" s="3">
        <v>64.541329281744694</v>
      </c>
      <c r="AZ141" s="3" t="s">
        <v>206</v>
      </c>
      <c r="BA141" s="3" t="s">
        <v>809</v>
      </c>
      <c r="BB141" s="3" t="s">
        <v>810</v>
      </c>
      <c r="BC141" s="3" t="s">
        <v>811</v>
      </c>
      <c r="BD141" s="8">
        <v>4</v>
      </c>
    </row>
    <row r="142" spans="1:56" ht="14.25" customHeight="1" thickBot="1">
      <c r="A142" s="3" t="s">
        <v>812</v>
      </c>
      <c r="B142" s="3" t="s">
        <v>680</v>
      </c>
      <c r="C142" s="3" t="s">
        <v>813</v>
      </c>
      <c r="E142" s="3" t="s">
        <v>71</v>
      </c>
      <c r="F142" s="3">
        <f t="shared" si="0"/>
        <v>3</v>
      </c>
      <c r="G142" s="3" t="s">
        <v>119</v>
      </c>
      <c r="H142" s="3">
        <f t="shared" si="1"/>
        <v>3</v>
      </c>
      <c r="I142" s="3" t="s">
        <v>122</v>
      </c>
      <c r="J142" s="3" t="s">
        <v>227</v>
      </c>
      <c r="M142" s="3" t="s">
        <v>97</v>
      </c>
      <c r="N142" s="3" t="s">
        <v>98</v>
      </c>
      <c r="O142" s="3" t="s">
        <v>78</v>
      </c>
      <c r="P142" s="3" t="s">
        <v>79</v>
      </c>
      <c r="Q142" s="3" t="s">
        <v>814</v>
      </c>
      <c r="S142" s="18">
        <v>0</v>
      </c>
      <c r="T142" s="18">
        <v>16.95</v>
      </c>
      <c r="U142" s="18">
        <v>29.24</v>
      </c>
      <c r="V142" s="3" t="s">
        <v>220</v>
      </c>
      <c r="W142" s="3" t="s">
        <v>73</v>
      </c>
      <c r="AB142" s="3">
        <v>68</v>
      </c>
      <c r="AC142" s="3" t="s">
        <v>102</v>
      </c>
      <c r="AD142" s="10">
        <v>34.019150000000003</v>
      </c>
      <c r="AE142" s="11">
        <v>-118.267234</v>
      </c>
      <c r="AH142" s="3">
        <v>2004</v>
      </c>
      <c r="AI142" s="3">
        <v>7</v>
      </c>
      <c r="AJ142" s="8">
        <v>12</v>
      </c>
      <c r="AK142" s="3">
        <v>2004</v>
      </c>
      <c r="AL142" s="3">
        <v>7</v>
      </c>
      <c r="AM142" s="3">
        <v>16</v>
      </c>
      <c r="AN142" s="29">
        <v>0</v>
      </c>
      <c r="AP142" s="3">
        <v>200</v>
      </c>
      <c r="AQ142" s="3">
        <v>42</v>
      </c>
      <c r="AR142" s="3">
        <v>242</v>
      </c>
      <c r="AY142" s="3">
        <v>64.541329281744694</v>
      </c>
      <c r="AZ142" s="3" t="s">
        <v>82</v>
      </c>
      <c r="BB142" s="3" t="s">
        <v>815</v>
      </c>
      <c r="BC142" s="3" t="s">
        <v>816</v>
      </c>
      <c r="BD142" s="8">
        <v>3</v>
      </c>
    </row>
    <row r="143" spans="1:56" ht="14.25" customHeight="1" thickBot="1">
      <c r="A143" s="3" t="s">
        <v>817</v>
      </c>
      <c r="B143" s="3" t="s">
        <v>680</v>
      </c>
      <c r="C143" s="3" t="s">
        <v>818</v>
      </c>
      <c r="E143" s="3" t="s">
        <v>71</v>
      </c>
      <c r="F143" s="3">
        <f t="shared" si="0"/>
        <v>2</v>
      </c>
      <c r="G143" s="3" t="s">
        <v>72</v>
      </c>
      <c r="H143" s="3">
        <f t="shared" si="1"/>
        <v>2</v>
      </c>
      <c r="I143" s="3" t="s">
        <v>73</v>
      </c>
      <c r="J143" s="3" t="s">
        <v>212</v>
      </c>
      <c r="L143" s="3" t="s">
        <v>819</v>
      </c>
      <c r="M143" s="3" t="s">
        <v>97</v>
      </c>
      <c r="N143" s="3" t="s">
        <v>98</v>
      </c>
      <c r="O143" s="3" t="s">
        <v>78</v>
      </c>
      <c r="P143" s="3" t="s">
        <v>79</v>
      </c>
      <c r="Q143" s="3" t="s">
        <v>820</v>
      </c>
      <c r="S143" s="18">
        <v>15.14</v>
      </c>
      <c r="T143" s="18">
        <v>20.309999999999999</v>
      </c>
      <c r="U143" s="18">
        <v>25.59</v>
      </c>
      <c r="V143" s="3" t="s">
        <v>101</v>
      </c>
      <c r="W143" s="3" t="s">
        <v>95</v>
      </c>
      <c r="Z143" s="3" t="s">
        <v>264</v>
      </c>
      <c r="AC143" s="3" t="s">
        <v>81</v>
      </c>
      <c r="AD143" s="6">
        <v>33.258879999999998</v>
      </c>
      <c r="AE143" s="6">
        <v>-86.829533999999995</v>
      </c>
      <c r="AH143" s="3">
        <v>2004</v>
      </c>
      <c r="AI143" s="3">
        <v>9</v>
      </c>
      <c r="AJ143" s="8">
        <v>15</v>
      </c>
      <c r="AK143" s="3">
        <v>2004</v>
      </c>
      <c r="AL143" s="3">
        <v>9</v>
      </c>
      <c r="AM143" s="3">
        <v>16</v>
      </c>
      <c r="AN143" s="29">
        <v>52</v>
      </c>
      <c r="AU143" s="3">
        <v>12000000</v>
      </c>
      <c r="AV143" s="3">
        <v>18592738</v>
      </c>
      <c r="AW143" s="3">
        <v>18000000</v>
      </c>
      <c r="AX143" s="3">
        <v>27889106</v>
      </c>
      <c r="AY143" s="3">
        <v>64.541329281744694</v>
      </c>
      <c r="AZ143" s="3" t="s">
        <v>89</v>
      </c>
      <c r="BA143" s="3" t="s">
        <v>821</v>
      </c>
      <c r="BC143" s="3" t="s">
        <v>822</v>
      </c>
      <c r="BD143" s="8">
        <v>0</v>
      </c>
    </row>
    <row r="144" spans="1:56" ht="14.25" customHeight="1" thickBot="1">
      <c r="A144" s="3" t="s">
        <v>823</v>
      </c>
      <c r="B144" s="3" t="s">
        <v>680</v>
      </c>
      <c r="C144" s="3" t="s">
        <v>824</v>
      </c>
      <c r="E144" s="3" t="s">
        <v>71</v>
      </c>
      <c r="F144" s="3">
        <f t="shared" si="0"/>
        <v>2</v>
      </c>
      <c r="G144" s="3" t="s">
        <v>72</v>
      </c>
      <c r="H144" s="3">
        <f t="shared" si="1"/>
        <v>2</v>
      </c>
      <c r="I144" s="3" t="s">
        <v>73</v>
      </c>
      <c r="J144" s="3" t="s">
        <v>74</v>
      </c>
      <c r="K144" s="3" t="s">
        <v>355</v>
      </c>
      <c r="M144" s="3" t="s">
        <v>97</v>
      </c>
      <c r="N144" s="3" t="s">
        <v>98</v>
      </c>
      <c r="O144" s="3" t="s">
        <v>78</v>
      </c>
      <c r="P144" s="3" t="s">
        <v>79</v>
      </c>
      <c r="Q144" s="3" t="s">
        <v>825</v>
      </c>
      <c r="S144" s="18">
        <v>0</v>
      </c>
      <c r="T144" s="18">
        <v>21.78</v>
      </c>
      <c r="U144" s="18">
        <v>30.38</v>
      </c>
      <c r="V144" s="3" t="s">
        <v>355</v>
      </c>
      <c r="W144" s="3" t="s">
        <v>95</v>
      </c>
      <c r="AC144" s="3" t="s">
        <v>81</v>
      </c>
      <c r="AD144" s="6">
        <v>39.706229999999998</v>
      </c>
      <c r="AE144" s="6">
        <v>-90.190335000000005</v>
      </c>
      <c r="AH144" s="3">
        <v>2004</v>
      </c>
      <c r="AI144" s="3">
        <v>5</v>
      </c>
      <c r="AJ144" s="8">
        <v>21</v>
      </c>
      <c r="AK144" s="3">
        <v>2004</v>
      </c>
      <c r="AL144" s="3">
        <v>5</v>
      </c>
      <c r="AM144" s="3">
        <v>27</v>
      </c>
      <c r="AN144" s="29">
        <v>5</v>
      </c>
      <c r="AO144" s="3">
        <v>37</v>
      </c>
      <c r="AP144" s="3">
        <v>6000</v>
      </c>
      <c r="AQ144" s="3">
        <v>408</v>
      </c>
      <c r="AR144" s="3">
        <v>6445</v>
      </c>
      <c r="AU144" s="3">
        <v>800000</v>
      </c>
      <c r="AV144" s="3">
        <v>1239516</v>
      </c>
      <c r="AW144" s="3">
        <v>1100000</v>
      </c>
      <c r="AX144" s="3">
        <v>1704334</v>
      </c>
      <c r="AY144" s="3">
        <v>64.541329281744694</v>
      </c>
      <c r="AZ144" s="3" t="s">
        <v>206</v>
      </c>
      <c r="BA144" s="3" t="s">
        <v>826</v>
      </c>
      <c r="BB144" s="3" t="s">
        <v>827</v>
      </c>
      <c r="BC144" s="3" t="s">
        <v>828</v>
      </c>
      <c r="BD144" s="8">
        <v>4</v>
      </c>
    </row>
    <row r="145" spans="1:56" ht="14.25" customHeight="1" thickBot="1">
      <c r="A145" s="3" t="s">
        <v>829</v>
      </c>
      <c r="B145" s="3" t="s">
        <v>680</v>
      </c>
      <c r="C145" s="3" t="s">
        <v>687</v>
      </c>
      <c r="E145" s="3" t="s">
        <v>71</v>
      </c>
      <c r="F145" s="3">
        <f t="shared" si="0"/>
        <v>2</v>
      </c>
      <c r="G145" s="3" t="s">
        <v>72</v>
      </c>
      <c r="H145" s="3">
        <f t="shared" si="1"/>
        <v>2</v>
      </c>
      <c r="I145" s="3" t="s">
        <v>73</v>
      </c>
      <c r="J145" s="3" t="s">
        <v>74</v>
      </c>
      <c r="K145" s="3" t="s">
        <v>127</v>
      </c>
      <c r="M145" s="3" t="s">
        <v>97</v>
      </c>
      <c r="N145" s="3" t="s">
        <v>98</v>
      </c>
      <c r="O145" s="3" t="s">
        <v>78</v>
      </c>
      <c r="P145" s="3" t="s">
        <v>79</v>
      </c>
      <c r="Q145" s="3" t="s">
        <v>830</v>
      </c>
      <c r="S145" s="18">
        <v>0</v>
      </c>
      <c r="T145" s="18">
        <v>0.21</v>
      </c>
      <c r="U145" s="18">
        <v>9.92</v>
      </c>
      <c r="V145" s="3" t="s">
        <v>114</v>
      </c>
      <c r="W145" s="3" t="s">
        <v>129</v>
      </c>
      <c r="Z145" s="3" t="s">
        <v>264</v>
      </c>
      <c r="AC145" s="3" t="s">
        <v>81</v>
      </c>
      <c r="AD145" s="6">
        <v>35.672960000000003</v>
      </c>
      <c r="AE145" s="6">
        <v>-79.039292000000003</v>
      </c>
      <c r="AH145" s="3">
        <v>2004</v>
      </c>
      <c r="AI145" s="3">
        <v>1</v>
      </c>
      <c r="AJ145" s="8">
        <v>15</v>
      </c>
      <c r="AK145" s="3">
        <v>2004</v>
      </c>
      <c r="AL145" s="3">
        <v>1</v>
      </c>
      <c r="AM145" s="3">
        <v>29</v>
      </c>
      <c r="AN145" s="29">
        <v>56</v>
      </c>
      <c r="AW145" s="3">
        <v>60000</v>
      </c>
      <c r="AX145" s="3">
        <v>92964</v>
      </c>
      <c r="AY145" s="3">
        <v>64.541329281744694</v>
      </c>
      <c r="AZ145" s="3" t="s">
        <v>89</v>
      </c>
      <c r="BA145" s="3" t="s">
        <v>831</v>
      </c>
      <c r="BC145" s="3" t="s">
        <v>832</v>
      </c>
      <c r="BD145" s="8">
        <v>0</v>
      </c>
    </row>
    <row r="146" spans="1:56" ht="14.25" customHeight="1" thickBot="1">
      <c r="A146" s="3" t="s">
        <v>833</v>
      </c>
      <c r="B146" s="3" t="s">
        <v>680</v>
      </c>
      <c r="C146" s="3" t="s">
        <v>834</v>
      </c>
      <c r="E146" s="3" t="s">
        <v>71</v>
      </c>
      <c r="F146" s="3">
        <f t="shared" si="0"/>
        <v>2</v>
      </c>
      <c r="G146" s="3" t="s">
        <v>72</v>
      </c>
      <c r="H146" s="3">
        <f t="shared" si="1"/>
        <v>2</v>
      </c>
      <c r="I146" s="3" t="s">
        <v>73</v>
      </c>
      <c r="J146" s="3" t="s">
        <v>74</v>
      </c>
      <c r="K146" s="3" t="s">
        <v>75</v>
      </c>
      <c r="M146" s="3" t="s">
        <v>97</v>
      </c>
      <c r="N146" s="3" t="s">
        <v>98</v>
      </c>
      <c r="O146" s="3" t="s">
        <v>78</v>
      </c>
      <c r="P146" s="3" t="s">
        <v>79</v>
      </c>
      <c r="Q146" s="3" t="s">
        <v>835</v>
      </c>
      <c r="S146" s="18">
        <v>56.07</v>
      </c>
      <c r="T146" s="18">
        <v>4.9400000000000004</v>
      </c>
      <c r="U146" s="18">
        <v>10.09</v>
      </c>
      <c r="V146" s="3" t="s">
        <v>95</v>
      </c>
      <c r="W146" s="3" t="s">
        <v>129</v>
      </c>
      <c r="AC146" s="3" t="s">
        <v>81</v>
      </c>
      <c r="AD146" s="10">
        <v>37.063319999999997</v>
      </c>
      <c r="AE146" s="11">
        <v>-97.040526999999997</v>
      </c>
      <c r="AH146" s="3">
        <v>2004</v>
      </c>
      <c r="AI146" s="3">
        <v>3</v>
      </c>
      <c r="AJ146" s="8">
        <v>4</v>
      </c>
      <c r="AK146" s="3">
        <v>2004</v>
      </c>
      <c r="AL146" s="3">
        <v>3</v>
      </c>
      <c r="AM146" s="3">
        <v>7</v>
      </c>
      <c r="AN146" s="29">
        <v>9</v>
      </c>
      <c r="AP146" s="3">
        <v>1404</v>
      </c>
      <c r="AQ146" s="3">
        <v>345</v>
      </c>
      <c r="AR146" s="3">
        <v>1749</v>
      </c>
      <c r="AU146" s="3">
        <v>200000</v>
      </c>
      <c r="AV146" s="3">
        <v>309879</v>
      </c>
      <c r="AW146" s="3">
        <v>300000</v>
      </c>
      <c r="AX146" s="3">
        <v>464818</v>
      </c>
      <c r="AY146" s="3">
        <v>64.541329281744694</v>
      </c>
      <c r="AZ146" s="3" t="s">
        <v>89</v>
      </c>
      <c r="BA146" s="3" t="s">
        <v>836</v>
      </c>
      <c r="BC146" s="3" t="s">
        <v>837</v>
      </c>
      <c r="BD146" s="8">
        <v>4</v>
      </c>
    </row>
    <row r="147" spans="1:56" ht="14.25" customHeight="1" thickBot="1">
      <c r="A147" s="3" t="s">
        <v>838</v>
      </c>
      <c r="B147" s="3" t="s">
        <v>680</v>
      </c>
      <c r="C147" s="3" t="s">
        <v>839</v>
      </c>
      <c r="E147" s="3" t="s">
        <v>71</v>
      </c>
      <c r="F147" s="3">
        <f t="shared" si="0"/>
        <v>2</v>
      </c>
      <c r="G147" s="3" t="s">
        <v>72</v>
      </c>
      <c r="H147" s="3">
        <f t="shared" si="1"/>
        <v>2</v>
      </c>
      <c r="I147" s="3" t="s">
        <v>73</v>
      </c>
      <c r="J147" s="3" t="s">
        <v>74</v>
      </c>
      <c r="K147" s="3" t="s">
        <v>355</v>
      </c>
      <c r="M147" s="3" t="s">
        <v>97</v>
      </c>
      <c r="N147" s="3" t="s">
        <v>98</v>
      </c>
      <c r="O147" s="3" t="s">
        <v>78</v>
      </c>
      <c r="P147" s="3" t="s">
        <v>79</v>
      </c>
      <c r="Q147" s="3" t="s">
        <v>840</v>
      </c>
      <c r="S147" s="18">
        <v>0</v>
      </c>
      <c r="T147" s="18">
        <v>7.57</v>
      </c>
      <c r="U147" s="18">
        <v>19.25</v>
      </c>
      <c r="V147" s="3" t="s">
        <v>355</v>
      </c>
      <c r="AC147" s="3" t="s">
        <v>81</v>
      </c>
      <c r="AD147" s="10">
        <v>37.063319999999997</v>
      </c>
      <c r="AE147" s="11">
        <v>-97.040526999999997</v>
      </c>
      <c r="AH147" s="3">
        <v>2004</v>
      </c>
      <c r="AI147" s="3">
        <v>3</v>
      </c>
      <c r="AJ147" s="8">
        <v>20</v>
      </c>
      <c r="AK147" s="3">
        <v>2004</v>
      </c>
      <c r="AL147" s="3">
        <v>3</v>
      </c>
      <c r="AM147" s="3">
        <v>21</v>
      </c>
      <c r="AN147" s="29">
        <v>9</v>
      </c>
      <c r="AO147" s="3">
        <v>14</v>
      </c>
      <c r="AR147" s="3">
        <v>14</v>
      </c>
      <c r="AU147" s="3">
        <v>200000</v>
      </c>
      <c r="AV147" s="3">
        <v>309879</v>
      </c>
      <c r="AY147" s="3">
        <v>64.541329281744694</v>
      </c>
      <c r="AZ147" s="3" t="s">
        <v>89</v>
      </c>
      <c r="BA147" s="3" t="s">
        <v>841</v>
      </c>
      <c r="BC147" s="3" t="s">
        <v>842</v>
      </c>
      <c r="BD147" s="8">
        <v>2</v>
      </c>
    </row>
    <row r="148" spans="1:56" ht="14.25" customHeight="1" thickBot="1">
      <c r="A148" s="3" t="s">
        <v>843</v>
      </c>
      <c r="B148" s="3" t="s">
        <v>680</v>
      </c>
      <c r="C148" s="3" t="s">
        <v>394</v>
      </c>
      <c r="E148" s="3" t="s">
        <v>71</v>
      </c>
      <c r="F148" s="3">
        <f t="shared" si="0"/>
        <v>2</v>
      </c>
      <c r="G148" s="3" t="s">
        <v>72</v>
      </c>
      <c r="H148" s="3">
        <f t="shared" si="1"/>
        <v>2</v>
      </c>
      <c r="I148" s="3" t="s">
        <v>73</v>
      </c>
      <c r="J148" s="3" t="s">
        <v>212</v>
      </c>
      <c r="L148" s="3" t="s">
        <v>844</v>
      </c>
      <c r="M148" s="3" t="s">
        <v>371</v>
      </c>
      <c r="N148" s="3" t="s">
        <v>372</v>
      </c>
      <c r="O148" s="3" t="s">
        <v>373</v>
      </c>
      <c r="P148" s="3" t="s">
        <v>79</v>
      </c>
      <c r="Q148" s="3" t="s">
        <v>725</v>
      </c>
      <c r="S148" s="18">
        <v>8.31</v>
      </c>
      <c r="T148" s="18">
        <v>21.01</v>
      </c>
      <c r="U148" s="18">
        <v>31.02</v>
      </c>
      <c r="V148" s="3" t="s">
        <v>683</v>
      </c>
      <c r="Z148" s="3" t="s">
        <v>264</v>
      </c>
      <c r="AB148" s="3">
        <v>130</v>
      </c>
      <c r="AC148" s="3" t="s">
        <v>81</v>
      </c>
      <c r="AD148" s="6">
        <v>18.468679999999999</v>
      </c>
      <c r="AE148" s="6">
        <v>-67.154452000000006</v>
      </c>
      <c r="AH148" s="3">
        <v>2004</v>
      </c>
      <c r="AI148" s="3">
        <v>9</v>
      </c>
      <c r="AJ148" s="8">
        <v>14</v>
      </c>
      <c r="AK148" s="3">
        <v>2004</v>
      </c>
      <c r="AL148" s="3">
        <v>9</v>
      </c>
      <c r="AM148" s="3">
        <v>14</v>
      </c>
      <c r="AN148" s="29">
        <v>2</v>
      </c>
      <c r="AP148" s="3">
        <v>3500</v>
      </c>
      <c r="AR148" s="3">
        <v>3500</v>
      </c>
      <c r="AU148" s="3">
        <v>30000</v>
      </c>
      <c r="AV148" s="3">
        <v>46482</v>
      </c>
      <c r="AW148" s="3">
        <v>100000</v>
      </c>
      <c r="AX148" s="3">
        <v>154939</v>
      </c>
      <c r="AY148" s="3">
        <v>64.541329281744694</v>
      </c>
      <c r="AZ148" s="3" t="s">
        <v>89</v>
      </c>
      <c r="BA148" s="3" t="s">
        <v>726</v>
      </c>
      <c r="BC148" s="3" t="s">
        <v>727</v>
      </c>
      <c r="BD148" s="8">
        <v>4</v>
      </c>
    </row>
    <row r="149" spans="1:56" ht="14.25" customHeight="1" thickBot="1">
      <c r="A149" s="3" t="s">
        <v>845</v>
      </c>
      <c r="B149" s="3" t="s">
        <v>680</v>
      </c>
      <c r="C149" s="3" t="s">
        <v>846</v>
      </c>
      <c r="E149" s="3" t="s">
        <v>71</v>
      </c>
      <c r="F149" s="3">
        <f t="shared" si="0"/>
        <v>2</v>
      </c>
      <c r="G149" s="3" t="s">
        <v>72</v>
      </c>
      <c r="H149" s="3">
        <f t="shared" si="1"/>
        <v>2</v>
      </c>
      <c r="I149" s="3" t="s">
        <v>73</v>
      </c>
      <c r="J149" s="3" t="s">
        <v>212</v>
      </c>
      <c r="L149" s="3" t="s">
        <v>847</v>
      </c>
      <c r="M149" s="3" t="s">
        <v>97</v>
      </c>
      <c r="N149" s="3" t="s">
        <v>98</v>
      </c>
      <c r="O149" s="3" t="s">
        <v>78</v>
      </c>
      <c r="P149" s="3" t="s">
        <v>79</v>
      </c>
      <c r="Q149" s="3" t="s">
        <v>848</v>
      </c>
      <c r="S149" s="18">
        <v>106.51</v>
      </c>
      <c r="T149" s="18">
        <v>23.17</v>
      </c>
      <c r="U149" s="18">
        <v>28.25</v>
      </c>
      <c r="V149" s="3" t="s">
        <v>683</v>
      </c>
      <c r="Z149" s="3" t="s">
        <v>264</v>
      </c>
      <c r="AC149" s="3" t="s">
        <v>81</v>
      </c>
      <c r="AD149" s="10">
        <v>26.698450000000001</v>
      </c>
      <c r="AE149" s="11">
        <v>-80.057310000000001</v>
      </c>
      <c r="AH149" s="3">
        <v>2004</v>
      </c>
      <c r="AI149" s="3">
        <v>9</v>
      </c>
      <c r="AJ149" s="8">
        <v>5</v>
      </c>
      <c r="AK149" s="3">
        <v>2004</v>
      </c>
      <c r="AL149" s="3">
        <v>9</v>
      </c>
      <c r="AM149" s="3">
        <v>5</v>
      </c>
      <c r="AN149" s="29">
        <v>47</v>
      </c>
      <c r="AP149" s="3">
        <v>5000000</v>
      </c>
      <c r="AR149" s="3">
        <v>5000000</v>
      </c>
      <c r="AU149" s="3">
        <v>5000000</v>
      </c>
      <c r="AV149" s="3">
        <v>7746974</v>
      </c>
      <c r="AW149" s="3">
        <v>11000000</v>
      </c>
      <c r="AX149" s="3">
        <v>17043343</v>
      </c>
      <c r="AY149" s="3">
        <v>64.541329281744694</v>
      </c>
      <c r="AZ149" s="3" t="s">
        <v>206</v>
      </c>
      <c r="BA149" s="3" t="s">
        <v>849</v>
      </c>
      <c r="BB149" s="3" t="s">
        <v>850</v>
      </c>
      <c r="BC149" s="3" t="s">
        <v>851</v>
      </c>
      <c r="BD149" s="8">
        <v>7</v>
      </c>
    </row>
    <row r="150" spans="1:56" ht="14.25" customHeight="1" thickBot="1">
      <c r="A150" s="3" t="s">
        <v>852</v>
      </c>
      <c r="B150" s="3" t="s">
        <v>680</v>
      </c>
      <c r="C150" s="3" t="s">
        <v>853</v>
      </c>
      <c r="E150" s="3" t="s">
        <v>71</v>
      </c>
      <c r="F150" s="3">
        <f t="shared" si="0"/>
        <v>3</v>
      </c>
      <c r="G150" s="3" t="s">
        <v>119</v>
      </c>
      <c r="H150" s="3">
        <f t="shared" si="1"/>
        <v>3</v>
      </c>
      <c r="I150" s="3" t="s">
        <v>122</v>
      </c>
      <c r="J150" s="3" t="s">
        <v>227</v>
      </c>
      <c r="M150" s="3" t="s">
        <v>97</v>
      </c>
      <c r="N150" s="3" t="s">
        <v>98</v>
      </c>
      <c r="O150" s="3" t="s">
        <v>78</v>
      </c>
      <c r="P150" s="3" t="s">
        <v>79</v>
      </c>
      <c r="Q150" s="3" t="s">
        <v>854</v>
      </c>
      <c r="S150" s="18">
        <v>0</v>
      </c>
      <c r="T150" s="18">
        <v>16.059999999999999</v>
      </c>
      <c r="U150" s="18">
        <v>35.979999999999997</v>
      </c>
      <c r="V150" s="3" t="s">
        <v>220</v>
      </c>
      <c r="AB150" s="3">
        <v>66</v>
      </c>
      <c r="AC150" s="3" t="s">
        <v>102</v>
      </c>
      <c r="AD150" s="10">
        <v>34.019150000000003</v>
      </c>
      <c r="AE150" s="11">
        <v>-118.267234</v>
      </c>
      <c r="AH150" s="3">
        <v>2004</v>
      </c>
      <c r="AI150" s="3">
        <v>5</v>
      </c>
      <c r="AJ150" s="8">
        <v>2</v>
      </c>
      <c r="AK150" s="3">
        <v>2004</v>
      </c>
      <c r="AL150" s="3">
        <v>5</v>
      </c>
      <c r="AM150" s="3">
        <v>4</v>
      </c>
      <c r="AN150" s="29">
        <v>0</v>
      </c>
      <c r="AP150" s="3">
        <v>15000</v>
      </c>
      <c r="AR150" s="3">
        <v>15000</v>
      </c>
      <c r="AY150" s="3">
        <v>64.541329281744694</v>
      </c>
      <c r="AZ150" s="3" t="s">
        <v>82</v>
      </c>
      <c r="BB150" s="3" t="s">
        <v>855</v>
      </c>
      <c r="BC150" s="3" t="s">
        <v>856</v>
      </c>
      <c r="BD150" s="8">
        <v>5</v>
      </c>
    </row>
    <row r="151" spans="1:56" ht="14.25" customHeight="1" thickBot="1">
      <c r="A151" s="3" t="s">
        <v>857</v>
      </c>
      <c r="B151" s="3" t="s">
        <v>680</v>
      </c>
      <c r="C151" s="3" t="s">
        <v>148</v>
      </c>
      <c r="E151" s="3" t="s">
        <v>71</v>
      </c>
      <c r="F151" s="3">
        <f t="shared" si="0"/>
        <v>2</v>
      </c>
      <c r="G151" s="3" t="s">
        <v>72</v>
      </c>
      <c r="H151" s="3">
        <f t="shared" si="1"/>
        <v>2</v>
      </c>
      <c r="I151" s="3" t="s">
        <v>73</v>
      </c>
      <c r="J151" s="3" t="s">
        <v>74</v>
      </c>
      <c r="K151" s="3" t="s">
        <v>807</v>
      </c>
      <c r="M151" s="3" t="s">
        <v>97</v>
      </c>
      <c r="N151" s="3" t="s">
        <v>98</v>
      </c>
      <c r="O151" s="3" t="s">
        <v>78</v>
      </c>
      <c r="P151" s="3" t="s">
        <v>79</v>
      </c>
      <c r="Q151" s="3" t="s">
        <v>858</v>
      </c>
      <c r="S151" s="18">
        <v>4.24</v>
      </c>
      <c r="T151" s="18">
        <v>21.78</v>
      </c>
      <c r="U151" s="18">
        <v>30.12</v>
      </c>
      <c r="V151" s="3" t="s">
        <v>95</v>
      </c>
      <c r="AC151" s="3" t="s">
        <v>81</v>
      </c>
      <c r="AD151" s="6">
        <v>30.762689999999999</v>
      </c>
      <c r="AE151" s="6">
        <v>-96.998170999999999</v>
      </c>
      <c r="AH151" s="3">
        <v>2004</v>
      </c>
      <c r="AI151" s="3">
        <v>6</v>
      </c>
      <c r="AJ151" s="8">
        <v>28</v>
      </c>
      <c r="AK151" s="3">
        <v>2004</v>
      </c>
      <c r="AL151" s="3">
        <v>6</v>
      </c>
      <c r="AM151" s="3">
        <v>28</v>
      </c>
      <c r="AN151" s="29">
        <v>4</v>
      </c>
      <c r="AO151" s="3">
        <v>6</v>
      </c>
      <c r="AP151" s="3">
        <v>307</v>
      </c>
      <c r="AR151" s="3">
        <v>313</v>
      </c>
      <c r="AW151" s="3">
        <v>170</v>
      </c>
      <c r="AX151" s="3">
        <v>263</v>
      </c>
      <c r="AY151" s="3">
        <v>64.541329281744694</v>
      </c>
      <c r="AZ151" s="3" t="s">
        <v>206</v>
      </c>
      <c r="BA151" s="3" t="s">
        <v>859</v>
      </c>
      <c r="BB151" s="3" t="s">
        <v>860</v>
      </c>
      <c r="BC151" s="3" t="s">
        <v>861</v>
      </c>
      <c r="BD151" s="8">
        <v>3</v>
      </c>
    </row>
    <row r="152" spans="1:56" ht="14.25" customHeight="1" thickBot="1">
      <c r="A152" s="3" t="s">
        <v>862</v>
      </c>
      <c r="B152" s="3" t="s">
        <v>680</v>
      </c>
      <c r="C152" s="3" t="s">
        <v>863</v>
      </c>
      <c r="E152" s="3" t="s">
        <v>71</v>
      </c>
      <c r="F152" s="3">
        <f t="shared" si="0"/>
        <v>2</v>
      </c>
      <c r="G152" s="3" t="s">
        <v>72</v>
      </c>
      <c r="H152" s="3">
        <f t="shared" si="1"/>
        <v>2</v>
      </c>
      <c r="I152" s="3" t="s">
        <v>73</v>
      </c>
      <c r="J152" s="3" t="s">
        <v>212</v>
      </c>
      <c r="L152" s="3" t="s">
        <v>864</v>
      </c>
      <c r="M152" s="3" t="s">
        <v>97</v>
      </c>
      <c r="N152" s="3" t="s">
        <v>98</v>
      </c>
      <c r="O152" s="3" t="s">
        <v>78</v>
      </c>
      <c r="P152" s="3" t="s">
        <v>79</v>
      </c>
      <c r="Q152" s="3" t="s">
        <v>865</v>
      </c>
      <c r="S152" s="18">
        <v>0</v>
      </c>
      <c r="T152" s="18">
        <v>19.57</v>
      </c>
      <c r="U152" s="18">
        <v>31.59</v>
      </c>
      <c r="V152" s="3" t="s">
        <v>95</v>
      </c>
      <c r="Z152" s="3" t="s">
        <v>264</v>
      </c>
      <c r="AC152" s="3" t="s">
        <v>81</v>
      </c>
      <c r="AD152" s="6">
        <v>37.538510000000002</v>
      </c>
      <c r="AE152" s="6">
        <v>-77.434280000000001</v>
      </c>
      <c r="AH152" s="3">
        <v>2004</v>
      </c>
      <c r="AI152" s="3">
        <v>8</v>
      </c>
      <c r="AJ152" s="8">
        <v>29</v>
      </c>
      <c r="AK152" s="3">
        <v>2004</v>
      </c>
      <c r="AL152" s="3">
        <v>8</v>
      </c>
      <c r="AM152" s="3">
        <v>30</v>
      </c>
      <c r="AN152" s="29">
        <v>7</v>
      </c>
      <c r="AU152" s="3">
        <v>62500</v>
      </c>
      <c r="AV152" s="3">
        <v>96837</v>
      </c>
      <c r="AW152" s="3">
        <v>62500</v>
      </c>
      <c r="AX152" s="3">
        <v>96837</v>
      </c>
      <c r="AY152" s="3">
        <v>64.541329281744694</v>
      </c>
      <c r="AZ152" s="3" t="s">
        <v>206</v>
      </c>
      <c r="BA152" s="3" t="s">
        <v>826</v>
      </c>
      <c r="BB152" s="3" t="s">
        <v>866</v>
      </c>
      <c r="BC152" s="3" t="s">
        <v>867</v>
      </c>
      <c r="BD152" s="8">
        <v>0</v>
      </c>
    </row>
    <row r="153" spans="1:56" ht="14.25" customHeight="1" thickBot="1">
      <c r="A153" s="3" t="s">
        <v>868</v>
      </c>
      <c r="B153" s="3" t="s">
        <v>680</v>
      </c>
      <c r="C153" s="3" t="s">
        <v>869</v>
      </c>
      <c r="E153" s="3" t="s">
        <v>71</v>
      </c>
      <c r="F153" s="3">
        <f t="shared" si="0"/>
        <v>2</v>
      </c>
      <c r="G153" s="3" t="s">
        <v>72</v>
      </c>
      <c r="H153" s="3">
        <f t="shared" si="1"/>
        <v>2</v>
      </c>
      <c r="I153" s="3" t="s">
        <v>73</v>
      </c>
      <c r="J153" s="3" t="s">
        <v>212</v>
      </c>
      <c r="L153" s="3" t="s">
        <v>870</v>
      </c>
      <c r="M153" s="3" t="s">
        <v>97</v>
      </c>
      <c r="N153" s="3" t="s">
        <v>98</v>
      </c>
      <c r="O153" s="3" t="s">
        <v>78</v>
      </c>
      <c r="P153" s="3" t="s">
        <v>79</v>
      </c>
      <c r="Q153" s="3" t="s">
        <v>871</v>
      </c>
      <c r="S153" s="18">
        <v>0</v>
      </c>
      <c r="T153" s="18">
        <v>21.24</v>
      </c>
      <c r="U153" s="18">
        <v>29.72</v>
      </c>
      <c r="V153" s="3" t="s">
        <v>129</v>
      </c>
      <c r="Z153" s="3" t="s">
        <v>264</v>
      </c>
      <c r="AB153" s="3">
        <v>230</v>
      </c>
      <c r="AC153" s="3" t="s">
        <v>81</v>
      </c>
      <c r="AD153" s="6">
        <v>30.248169999999998</v>
      </c>
      <c r="AE153" s="6">
        <v>-85.659362999999999</v>
      </c>
      <c r="AH153" s="3">
        <v>2004</v>
      </c>
      <c r="AI153" s="3">
        <v>8</v>
      </c>
      <c r="AJ153" s="8">
        <v>13</v>
      </c>
      <c r="AK153" s="3">
        <v>2004</v>
      </c>
      <c r="AL153" s="3">
        <v>8</v>
      </c>
      <c r="AM153" s="3">
        <v>13</v>
      </c>
      <c r="AN153" s="29">
        <v>10</v>
      </c>
      <c r="AP153" s="3">
        <v>30000</v>
      </c>
      <c r="AR153" s="3">
        <v>30000</v>
      </c>
      <c r="AU153" s="3">
        <v>7600000</v>
      </c>
      <c r="AV153" s="3">
        <v>11775400</v>
      </c>
      <c r="AW153" s="3">
        <v>16000000</v>
      </c>
      <c r="AX153" s="3">
        <v>24790317</v>
      </c>
      <c r="AY153" s="3">
        <v>64.541329281744694</v>
      </c>
      <c r="AZ153" s="3" t="s">
        <v>206</v>
      </c>
      <c r="BA153" s="3" t="s">
        <v>826</v>
      </c>
      <c r="BB153" s="3" t="s">
        <v>872</v>
      </c>
      <c r="BC153" s="3" t="s">
        <v>873</v>
      </c>
      <c r="BD153" s="8">
        <v>5</v>
      </c>
    </row>
    <row r="154" spans="1:56" ht="14.25" customHeight="1" thickBot="1">
      <c r="A154" s="3" t="s">
        <v>874</v>
      </c>
      <c r="B154" s="3" t="s">
        <v>680</v>
      </c>
      <c r="C154" s="3" t="s">
        <v>656</v>
      </c>
      <c r="E154" s="3" t="s">
        <v>71</v>
      </c>
      <c r="F154" s="3">
        <f t="shared" si="0"/>
        <v>1</v>
      </c>
      <c r="G154" s="3" t="s">
        <v>94</v>
      </c>
      <c r="H154" s="3">
        <f t="shared" si="1"/>
        <v>1</v>
      </c>
      <c r="I154" s="3" t="s">
        <v>95</v>
      </c>
      <c r="J154" s="3" t="s">
        <v>96</v>
      </c>
      <c r="M154" s="3" t="s">
        <v>371</v>
      </c>
      <c r="N154" s="3" t="s">
        <v>372</v>
      </c>
      <c r="O154" s="3" t="s">
        <v>373</v>
      </c>
      <c r="P154" s="3" t="s">
        <v>79</v>
      </c>
      <c r="Q154" s="3" t="s">
        <v>875</v>
      </c>
      <c r="R154" s="3" t="s">
        <v>200</v>
      </c>
      <c r="S154" s="18">
        <v>15.56</v>
      </c>
      <c r="T154" s="18">
        <v>21.2</v>
      </c>
      <c r="U154" s="18">
        <v>30.66</v>
      </c>
      <c r="AC154" s="3" t="s">
        <v>102</v>
      </c>
      <c r="AD154" s="6">
        <v>18.468679999999999</v>
      </c>
      <c r="AE154" s="6">
        <v>-67.154452000000006</v>
      </c>
      <c r="AH154" s="3">
        <v>2004</v>
      </c>
      <c r="AI154" s="3">
        <v>5</v>
      </c>
      <c r="AJ154" s="8">
        <v>23</v>
      </c>
      <c r="AK154" s="3">
        <v>2004</v>
      </c>
      <c r="AL154" s="3">
        <v>6</v>
      </c>
      <c r="AM154" s="3">
        <v>1</v>
      </c>
      <c r="AN154" s="29">
        <v>0</v>
      </c>
      <c r="AY154" s="3">
        <v>64.541329281744694</v>
      </c>
      <c r="AZ154" s="3" t="s">
        <v>89</v>
      </c>
      <c r="BA154" s="3" t="s">
        <v>876</v>
      </c>
      <c r="BC154" s="3" t="s">
        <v>877</v>
      </c>
      <c r="BD154" s="8">
        <v>0</v>
      </c>
    </row>
    <row r="155" spans="1:56" ht="14.25" customHeight="1" thickBot="1">
      <c r="A155" s="3" t="s">
        <v>878</v>
      </c>
      <c r="B155" s="3" t="s">
        <v>680</v>
      </c>
      <c r="C155" s="3" t="s">
        <v>846</v>
      </c>
      <c r="E155" s="3" t="s">
        <v>71</v>
      </c>
      <c r="F155" s="3">
        <f t="shared" si="0"/>
        <v>2</v>
      </c>
      <c r="G155" s="3" t="s">
        <v>72</v>
      </c>
      <c r="H155" s="3">
        <f t="shared" si="1"/>
        <v>2</v>
      </c>
      <c r="I155" s="3" t="s">
        <v>73</v>
      </c>
      <c r="J155" s="3" t="s">
        <v>212</v>
      </c>
      <c r="L155" s="3" t="s">
        <v>847</v>
      </c>
      <c r="M155" s="3" t="s">
        <v>371</v>
      </c>
      <c r="N155" s="3" t="s">
        <v>372</v>
      </c>
      <c r="O155" s="3" t="s">
        <v>373</v>
      </c>
      <c r="P155" s="3" t="s">
        <v>79</v>
      </c>
      <c r="Q155" s="3" t="s">
        <v>725</v>
      </c>
      <c r="S155" s="18">
        <v>0</v>
      </c>
      <c r="T155" s="18">
        <v>21.17</v>
      </c>
      <c r="U155" s="18">
        <v>30.54</v>
      </c>
      <c r="AC155" s="3" t="s">
        <v>81</v>
      </c>
      <c r="AD155" s="6">
        <v>18.468679999999999</v>
      </c>
      <c r="AE155" s="6">
        <v>-67.154452000000006</v>
      </c>
      <c r="AH155" s="3">
        <v>2004</v>
      </c>
      <c r="AI155" s="3">
        <v>8</v>
      </c>
      <c r="AJ155" s="8">
        <v>31</v>
      </c>
      <c r="AK155" s="3">
        <v>2004</v>
      </c>
      <c r="AL155" s="3">
        <v>8</v>
      </c>
      <c r="AM155" s="3">
        <v>31</v>
      </c>
      <c r="AN155" s="29">
        <v>0</v>
      </c>
      <c r="AY155" s="3">
        <v>64.541329281744694</v>
      </c>
      <c r="AZ155" s="3" t="s">
        <v>89</v>
      </c>
      <c r="BA155" s="3" t="s">
        <v>726</v>
      </c>
      <c r="BC155" s="3" t="s">
        <v>727</v>
      </c>
      <c r="BD155" s="8">
        <v>0</v>
      </c>
    </row>
    <row r="156" spans="1:56" ht="14.25" customHeight="1" thickBot="1">
      <c r="A156" s="3" t="s">
        <v>879</v>
      </c>
      <c r="B156" s="3" t="s">
        <v>680</v>
      </c>
      <c r="C156" s="3" t="s">
        <v>278</v>
      </c>
      <c r="E156" s="3" t="s">
        <v>71</v>
      </c>
      <c r="F156" s="3">
        <f t="shared" si="0"/>
        <v>2</v>
      </c>
      <c r="G156" s="3" t="s">
        <v>72</v>
      </c>
      <c r="H156" s="3">
        <f t="shared" si="1"/>
        <v>2</v>
      </c>
      <c r="I156" s="3" t="s">
        <v>73</v>
      </c>
      <c r="J156" s="3" t="s">
        <v>74</v>
      </c>
      <c r="K156" s="3" t="s">
        <v>75</v>
      </c>
      <c r="M156" s="3" t="s">
        <v>97</v>
      </c>
      <c r="N156" s="3" t="s">
        <v>98</v>
      </c>
      <c r="O156" s="3" t="s">
        <v>78</v>
      </c>
      <c r="P156" s="3" t="s">
        <v>79</v>
      </c>
      <c r="Q156" s="3" t="s">
        <v>880</v>
      </c>
      <c r="S156" s="18">
        <v>36.200000000000003</v>
      </c>
      <c r="T156" s="18">
        <v>20.93</v>
      </c>
      <c r="U156" s="18">
        <v>26.93</v>
      </c>
      <c r="AC156" s="3" t="s">
        <v>81</v>
      </c>
      <c r="AD156" s="20">
        <v>38.0984588478685</v>
      </c>
      <c r="AE156" s="17">
        <v>-77.468806436688496</v>
      </c>
      <c r="AH156" s="3">
        <v>2004</v>
      </c>
      <c r="AI156" s="3">
        <v>9</v>
      </c>
      <c r="AJ156" s="8">
        <v>8</v>
      </c>
      <c r="AK156" s="3">
        <v>2004</v>
      </c>
      <c r="AL156" s="3">
        <v>9</v>
      </c>
      <c r="AM156" s="3">
        <v>8</v>
      </c>
      <c r="AN156" s="29">
        <v>0</v>
      </c>
      <c r="AP156" s="3">
        <v>189</v>
      </c>
      <c r="AR156" s="3">
        <v>189</v>
      </c>
      <c r="AW156" s="3">
        <v>2100</v>
      </c>
      <c r="AX156" s="3">
        <v>3254</v>
      </c>
      <c r="AY156" s="3">
        <v>64.541329281744694</v>
      </c>
      <c r="AZ156" s="3" t="s">
        <v>82</v>
      </c>
      <c r="BB156" s="3" t="s">
        <v>881</v>
      </c>
      <c r="BC156" s="3" t="s">
        <v>882</v>
      </c>
      <c r="BD156" s="8">
        <v>3</v>
      </c>
    </row>
    <row r="157" spans="1:56" ht="14.25" customHeight="1" thickBot="1">
      <c r="A157" s="3" t="s">
        <v>883</v>
      </c>
      <c r="B157" s="3" t="s">
        <v>680</v>
      </c>
      <c r="C157" s="3" t="s">
        <v>694</v>
      </c>
      <c r="E157" s="3" t="s">
        <v>71</v>
      </c>
      <c r="F157" s="3">
        <f t="shared" si="0"/>
        <v>1</v>
      </c>
      <c r="G157" s="3" t="s">
        <v>94</v>
      </c>
      <c r="H157" s="3">
        <f t="shared" si="1"/>
        <v>1</v>
      </c>
      <c r="I157" s="3" t="s">
        <v>95</v>
      </c>
      <c r="J157" s="3" t="s">
        <v>96</v>
      </c>
      <c r="M157" s="3" t="s">
        <v>97</v>
      </c>
      <c r="N157" s="3" t="s">
        <v>98</v>
      </c>
      <c r="O157" s="3" t="s">
        <v>78</v>
      </c>
      <c r="P157" s="3" t="s">
        <v>79</v>
      </c>
      <c r="Q157" s="3" t="s">
        <v>884</v>
      </c>
      <c r="R157" s="3" t="s">
        <v>885</v>
      </c>
      <c r="S157" s="18">
        <v>14.54</v>
      </c>
      <c r="T157" s="18">
        <v>1.5</v>
      </c>
      <c r="U157" s="18">
        <v>10.77</v>
      </c>
      <c r="Z157" s="3" t="s">
        <v>264</v>
      </c>
      <c r="AC157" s="3" t="s">
        <v>102</v>
      </c>
      <c r="AD157" s="5">
        <v>45.141389790764102</v>
      </c>
      <c r="AE157" s="17">
        <v>-89.167856757057905</v>
      </c>
      <c r="AH157" s="3">
        <v>2004</v>
      </c>
      <c r="AI157" s="3">
        <v>3</v>
      </c>
      <c r="AJ157" s="8">
        <v>28</v>
      </c>
      <c r="AK157" s="3">
        <v>2004</v>
      </c>
      <c r="AL157" s="3">
        <v>4</v>
      </c>
      <c r="AM157" s="3">
        <v>11</v>
      </c>
      <c r="AN157" s="29">
        <v>0</v>
      </c>
      <c r="AP157" s="3">
        <v>306</v>
      </c>
      <c r="AR157" s="3">
        <v>306</v>
      </c>
      <c r="AW157" s="3">
        <v>4500</v>
      </c>
      <c r="AX157" s="3">
        <v>6972</v>
      </c>
      <c r="AY157" s="3">
        <v>64.541329281744694</v>
      </c>
      <c r="AZ157" s="3" t="s">
        <v>82</v>
      </c>
      <c r="BB157" s="3" t="s">
        <v>886</v>
      </c>
      <c r="BC157" s="3" t="s">
        <v>887</v>
      </c>
      <c r="BD157" s="8">
        <v>3</v>
      </c>
    </row>
    <row r="158" spans="1:56" ht="14.25" customHeight="1" thickBot="1">
      <c r="A158" s="3" t="s">
        <v>888</v>
      </c>
      <c r="B158" s="3" t="s">
        <v>680</v>
      </c>
      <c r="C158" s="3" t="s">
        <v>889</v>
      </c>
      <c r="E158" s="3" t="s">
        <v>71</v>
      </c>
      <c r="F158" s="3">
        <f t="shared" si="0"/>
        <v>1</v>
      </c>
      <c r="G158" s="3" t="s">
        <v>94</v>
      </c>
      <c r="H158" s="3">
        <f t="shared" si="1"/>
        <v>1</v>
      </c>
      <c r="I158" s="3" t="s">
        <v>95</v>
      </c>
      <c r="J158" s="3" t="s">
        <v>96</v>
      </c>
      <c r="M158" s="3" t="s">
        <v>97</v>
      </c>
      <c r="N158" s="3" t="s">
        <v>98</v>
      </c>
      <c r="O158" s="3" t="s">
        <v>78</v>
      </c>
      <c r="P158" s="3" t="s">
        <v>79</v>
      </c>
      <c r="Q158" s="3" t="s">
        <v>890</v>
      </c>
      <c r="S158" s="18">
        <v>0</v>
      </c>
      <c r="T158" s="16">
        <v>6.91</v>
      </c>
      <c r="U158" s="18">
        <v>16.14</v>
      </c>
      <c r="AC158" s="3" t="s">
        <v>102</v>
      </c>
      <c r="AD158" s="10">
        <v>42.750349999999997</v>
      </c>
      <c r="AE158" s="11">
        <v>-83.150440000000003</v>
      </c>
      <c r="AH158" s="3">
        <v>2004</v>
      </c>
      <c r="AI158" s="3">
        <v>5</v>
      </c>
      <c r="AJ158" s="8">
        <v>28</v>
      </c>
      <c r="AK158" s="3">
        <v>2004</v>
      </c>
      <c r="AL158" s="3">
        <v>5</v>
      </c>
      <c r="AM158" s="3">
        <v>28</v>
      </c>
      <c r="AN158" s="29">
        <v>0</v>
      </c>
      <c r="AP158" s="3">
        <v>4929</v>
      </c>
      <c r="AR158" s="3">
        <v>4929</v>
      </c>
      <c r="AY158" s="3">
        <v>64.541329281744694</v>
      </c>
      <c r="AZ158" s="3" t="s">
        <v>82</v>
      </c>
      <c r="BB158" s="3" t="s">
        <v>891</v>
      </c>
      <c r="BC158" s="3" t="s">
        <v>892</v>
      </c>
      <c r="BD158" s="8">
        <v>4</v>
      </c>
    </row>
    <row r="159" spans="1:56" ht="14.25" customHeight="1" thickBot="1">
      <c r="A159" s="3" t="s">
        <v>893</v>
      </c>
      <c r="B159" s="3" t="s">
        <v>680</v>
      </c>
      <c r="C159" s="3" t="s">
        <v>894</v>
      </c>
      <c r="E159" s="3" t="s">
        <v>71</v>
      </c>
      <c r="F159" s="3">
        <f t="shared" si="0"/>
        <v>1</v>
      </c>
      <c r="G159" s="3" t="s">
        <v>94</v>
      </c>
      <c r="H159" s="3">
        <f t="shared" si="1"/>
        <v>1</v>
      </c>
      <c r="I159" s="3" t="s">
        <v>95</v>
      </c>
      <c r="J159" s="3" t="s">
        <v>96</v>
      </c>
      <c r="M159" s="3" t="s">
        <v>97</v>
      </c>
      <c r="N159" s="3" t="s">
        <v>98</v>
      </c>
      <c r="O159" s="3" t="s">
        <v>78</v>
      </c>
      <c r="P159" s="3" t="s">
        <v>79</v>
      </c>
      <c r="Q159" s="3" t="s">
        <v>895</v>
      </c>
      <c r="S159" s="18">
        <v>38.270000000000003</v>
      </c>
      <c r="T159" s="18">
        <v>17.72</v>
      </c>
      <c r="U159" s="18">
        <v>23.92</v>
      </c>
      <c r="AC159" s="3" t="s">
        <v>102</v>
      </c>
      <c r="AD159" s="6">
        <v>40.969990000000003</v>
      </c>
      <c r="AE159" s="6">
        <v>-77.727883000000006</v>
      </c>
      <c r="AH159" s="3">
        <v>2004</v>
      </c>
      <c r="AI159" s="3">
        <v>7</v>
      </c>
      <c r="AJ159" s="8">
        <v>12</v>
      </c>
      <c r="AK159" s="3">
        <v>2004</v>
      </c>
      <c r="AL159" s="3">
        <v>7</v>
      </c>
      <c r="AM159" s="3">
        <v>14</v>
      </c>
      <c r="AN159" s="29">
        <v>1</v>
      </c>
      <c r="AU159" s="3">
        <v>370000</v>
      </c>
      <c r="AV159" s="3">
        <v>573276</v>
      </c>
      <c r="AW159" s="3">
        <v>500000</v>
      </c>
      <c r="AX159" s="3">
        <v>774697</v>
      </c>
      <c r="AY159" s="3">
        <v>64.541329281744694</v>
      </c>
      <c r="AZ159" s="3" t="s">
        <v>89</v>
      </c>
      <c r="BA159" s="3" t="s">
        <v>896</v>
      </c>
      <c r="BC159" s="3" t="s">
        <v>897</v>
      </c>
      <c r="BD159" s="8">
        <v>0</v>
      </c>
    </row>
    <row r="160" spans="1:56" ht="14.25" customHeight="1" thickBot="1">
      <c r="A160" s="3" t="s">
        <v>898</v>
      </c>
      <c r="B160" s="3" t="s">
        <v>680</v>
      </c>
      <c r="C160" s="3" t="s">
        <v>394</v>
      </c>
      <c r="E160" s="3" t="s">
        <v>71</v>
      </c>
      <c r="F160" s="3">
        <f t="shared" si="0"/>
        <v>2</v>
      </c>
      <c r="G160" s="3" t="s">
        <v>72</v>
      </c>
      <c r="H160" s="3">
        <f t="shared" si="1"/>
        <v>2</v>
      </c>
      <c r="I160" s="3" t="s">
        <v>73</v>
      </c>
      <c r="J160" s="3" t="s">
        <v>212</v>
      </c>
      <c r="L160" s="3" t="s">
        <v>844</v>
      </c>
      <c r="M160" s="3" t="s">
        <v>97</v>
      </c>
      <c r="N160" s="3" t="s">
        <v>98</v>
      </c>
      <c r="O160" s="3" t="s">
        <v>78</v>
      </c>
      <c r="P160" s="3" t="s">
        <v>79</v>
      </c>
      <c r="Q160" s="3" t="s">
        <v>455</v>
      </c>
      <c r="S160" s="18">
        <v>7.02</v>
      </c>
      <c r="T160" s="18">
        <v>21.86</v>
      </c>
      <c r="U160" s="18">
        <v>30.1</v>
      </c>
      <c r="Z160" s="3" t="s">
        <v>264</v>
      </c>
      <c r="AC160" s="3" t="s">
        <v>81</v>
      </c>
      <c r="AD160" s="6">
        <v>26.614190000000001</v>
      </c>
      <c r="AE160" s="6">
        <v>-81.828106000000005</v>
      </c>
      <c r="AH160" s="3">
        <v>2004</v>
      </c>
      <c r="AI160" s="3">
        <v>9</v>
      </c>
      <c r="AJ160" s="8">
        <v>25</v>
      </c>
      <c r="AK160" s="3">
        <v>2004</v>
      </c>
      <c r="AL160" s="3">
        <v>9</v>
      </c>
      <c r="AM160" s="3">
        <v>26</v>
      </c>
      <c r="AN160" s="29">
        <v>6</v>
      </c>
      <c r="AP160" s="3">
        <v>40000</v>
      </c>
      <c r="AR160" s="3">
        <v>40000</v>
      </c>
      <c r="AU160" s="3">
        <v>4900000</v>
      </c>
      <c r="AV160" s="3">
        <v>7592035</v>
      </c>
      <c r="AW160" s="3">
        <v>8000000</v>
      </c>
      <c r="AX160" s="3">
        <v>12395158</v>
      </c>
      <c r="AY160" s="3">
        <v>64.541329281744694</v>
      </c>
      <c r="AZ160" s="3" t="s">
        <v>89</v>
      </c>
      <c r="BA160" s="3" t="s">
        <v>456</v>
      </c>
      <c r="BC160" s="3" t="s">
        <v>457</v>
      </c>
      <c r="BD160" s="8">
        <v>5</v>
      </c>
    </row>
    <row r="161" spans="1:56" ht="14.25" customHeight="1" thickBot="1">
      <c r="A161" s="3" t="s">
        <v>899</v>
      </c>
      <c r="B161" s="3" t="s">
        <v>680</v>
      </c>
      <c r="C161" s="3" t="s">
        <v>900</v>
      </c>
      <c r="E161" s="3" t="s">
        <v>71</v>
      </c>
      <c r="F161" s="3">
        <f t="shared" si="0"/>
        <v>2</v>
      </c>
      <c r="G161" s="3" t="s">
        <v>72</v>
      </c>
      <c r="H161" s="3">
        <f t="shared" si="1"/>
        <v>4</v>
      </c>
      <c r="I161" s="3" t="s">
        <v>219</v>
      </c>
      <c r="J161" s="3" t="s">
        <v>114</v>
      </c>
      <c r="M161" s="3" t="s">
        <v>97</v>
      </c>
      <c r="N161" s="3" t="s">
        <v>98</v>
      </c>
      <c r="O161" s="3" t="s">
        <v>78</v>
      </c>
      <c r="P161" s="3" t="s">
        <v>79</v>
      </c>
      <c r="Q161" s="3" t="s">
        <v>901</v>
      </c>
      <c r="S161" s="18">
        <v>0</v>
      </c>
      <c r="T161" s="18">
        <v>-16.77</v>
      </c>
      <c r="U161" s="18">
        <v>-9.99</v>
      </c>
      <c r="AC161" s="3" t="s">
        <v>222</v>
      </c>
      <c r="AD161" s="6">
        <v>41.650019999999998</v>
      </c>
      <c r="AE161" s="6">
        <v>-72.734216000000004</v>
      </c>
      <c r="AH161" s="3">
        <v>2004</v>
      </c>
      <c r="AI161" s="3">
        <v>1</v>
      </c>
      <c r="AJ161" s="8">
        <v>9</v>
      </c>
      <c r="AK161" s="3">
        <v>2004</v>
      </c>
      <c r="AL161" s="3">
        <v>1</v>
      </c>
      <c r="AM161" s="3">
        <v>12</v>
      </c>
      <c r="AN161" s="29">
        <v>3</v>
      </c>
      <c r="AU161" s="3">
        <v>450000</v>
      </c>
      <c r="AV161" s="3">
        <v>697228</v>
      </c>
      <c r="AY161" s="3">
        <v>64.541329281744694</v>
      </c>
      <c r="AZ161" s="3" t="s">
        <v>89</v>
      </c>
      <c r="BA161" s="3" t="s">
        <v>902</v>
      </c>
      <c r="BC161" s="3" t="s">
        <v>903</v>
      </c>
      <c r="BD161" s="8">
        <v>0</v>
      </c>
    </row>
    <row r="162" spans="1:56" ht="14.25" customHeight="1" thickBot="1">
      <c r="A162" s="3" t="s">
        <v>904</v>
      </c>
      <c r="B162" s="3" t="s">
        <v>680</v>
      </c>
      <c r="C162" s="3" t="s">
        <v>905</v>
      </c>
      <c r="E162" s="3" t="s">
        <v>71</v>
      </c>
      <c r="F162" s="3">
        <f t="shared" si="0"/>
        <v>3</v>
      </c>
      <c r="G162" s="3" t="s">
        <v>119</v>
      </c>
      <c r="H162" s="3">
        <f t="shared" si="1"/>
        <v>3</v>
      </c>
      <c r="I162" s="3" t="s">
        <v>122</v>
      </c>
      <c r="J162" s="3" t="s">
        <v>227</v>
      </c>
      <c r="M162" s="3" t="s">
        <v>97</v>
      </c>
      <c r="N162" s="3" t="s">
        <v>98</v>
      </c>
      <c r="O162" s="3" t="s">
        <v>78</v>
      </c>
      <c r="P162" s="3" t="s">
        <v>79</v>
      </c>
      <c r="Q162" s="3" t="s">
        <v>906</v>
      </c>
      <c r="S162" s="18">
        <v>0</v>
      </c>
      <c r="T162" s="18">
        <v>18.420000000000002</v>
      </c>
      <c r="U162" s="18">
        <v>27.53</v>
      </c>
      <c r="AB162" s="3">
        <v>4046</v>
      </c>
      <c r="AC162" s="3" t="s">
        <v>102</v>
      </c>
      <c r="AD162" s="10">
        <v>34.019150000000003</v>
      </c>
      <c r="AE162" s="11">
        <v>-118.267234</v>
      </c>
      <c r="AH162" s="3">
        <v>2004</v>
      </c>
      <c r="AI162" s="3">
        <v>8</v>
      </c>
      <c r="AJ162" s="8">
        <v>13</v>
      </c>
      <c r="AK162" s="3">
        <v>2004</v>
      </c>
      <c r="AL162" s="3">
        <v>8</v>
      </c>
      <c r="AM162" s="3">
        <v>14</v>
      </c>
      <c r="AN162" s="29">
        <v>0</v>
      </c>
      <c r="AO162" s="3">
        <v>5</v>
      </c>
      <c r="AQ162" s="3">
        <v>240</v>
      </c>
      <c r="AR162" s="3">
        <v>245</v>
      </c>
      <c r="AY162" s="3">
        <v>64.541329281744694</v>
      </c>
      <c r="AZ162" s="3" t="s">
        <v>82</v>
      </c>
      <c r="BB162" s="3" t="s">
        <v>907</v>
      </c>
      <c r="BC162" s="3" t="s">
        <v>908</v>
      </c>
      <c r="BD162" s="8">
        <v>3</v>
      </c>
    </row>
    <row r="163" spans="1:56" ht="14.25" customHeight="1" thickBot="1">
      <c r="A163" s="3" t="s">
        <v>909</v>
      </c>
      <c r="B163" s="3" t="s">
        <v>910</v>
      </c>
      <c r="C163" s="3" t="s">
        <v>911</v>
      </c>
      <c r="E163" s="3" t="s">
        <v>71</v>
      </c>
      <c r="F163" s="3">
        <f t="shared" si="0"/>
        <v>1</v>
      </c>
      <c r="G163" s="3" t="s">
        <v>94</v>
      </c>
      <c r="H163" s="3">
        <f t="shared" si="1"/>
        <v>1</v>
      </c>
      <c r="I163" s="3" t="s">
        <v>95</v>
      </c>
      <c r="J163" s="3" t="s">
        <v>96</v>
      </c>
      <c r="M163" s="3" t="s">
        <v>97</v>
      </c>
      <c r="N163" s="3" t="s">
        <v>98</v>
      </c>
      <c r="O163" s="3" t="s">
        <v>78</v>
      </c>
      <c r="P163" s="3" t="s">
        <v>79</v>
      </c>
      <c r="Q163" s="3" t="s">
        <v>772</v>
      </c>
      <c r="R163" s="3" t="s">
        <v>200</v>
      </c>
      <c r="S163" s="18">
        <v>15.1</v>
      </c>
      <c r="T163" s="18">
        <v>11.97</v>
      </c>
      <c r="U163" s="18">
        <v>23.07</v>
      </c>
      <c r="V163" s="3" t="s">
        <v>101</v>
      </c>
      <c r="W163" s="3" t="s">
        <v>683</v>
      </c>
      <c r="AC163" s="3" t="s">
        <v>102</v>
      </c>
      <c r="AD163" s="10">
        <v>34.018009999999997</v>
      </c>
      <c r="AE163" s="11">
        <v>-118.252684</v>
      </c>
      <c r="AH163" s="3">
        <v>2005</v>
      </c>
      <c r="AI163" s="3">
        <v>2</v>
      </c>
      <c r="AJ163" s="8">
        <v>17</v>
      </c>
      <c r="AK163" s="3">
        <v>2005</v>
      </c>
      <c r="AL163" s="3">
        <v>2</v>
      </c>
      <c r="AM163" s="3">
        <v>23</v>
      </c>
      <c r="AN163" s="29">
        <v>9</v>
      </c>
      <c r="AP163" s="3">
        <v>150</v>
      </c>
      <c r="AR163" s="3">
        <v>150</v>
      </c>
      <c r="AU163" s="3">
        <v>200000</v>
      </c>
      <c r="AV163" s="3">
        <v>299711</v>
      </c>
      <c r="AW163" s="3">
        <v>250000</v>
      </c>
      <c r="AX163" s="3">
        <v>374638</v>
      </c>
      <c r="AY163" s="3">
        <v>66.731057986202799</v>
      </c>
      <c r="AZ163" s="3" t="s">
        <v>82</v>
      </c>
      <c r="BB163" s="3" t="s">
        <v>591</v>
      </c>
      <c r="BC163" s="3" t="s">
        <v>592</v>
      </c>
      <c r="BD163" s="8">
        <v>3</v>
      </c>
    </row>
    <row r="164" spans="1:56" ht="14.25" customHeight="1" thickBot="1">
      <c r="A164" s="3" t="s">
        <v>912</v>
      </c>
      <c r="B164" s="3" t="s">
        <v>910</v>
      </c>
      <c r="C164" s="3" t="s">
        <v>913</v>
      </c>
      <c r="E164" s="3" t="s">
        <v>71</v>
      </c>
      <c r="F164" s="3">
        <f t="shared" si="0"/>
        <v>1</v>
      </c>
      <c r="G164" s="3" t="s">
        <v>94</v>
      </c>
      <c r="H164" s="3">
        <f t="shared" si="1"/>
        <v>1</v>
      </c>
      <c r="I164" s="3" t="s">
        <v>95</v>
      </c>
      <c r="J164" s="3" t="s">
        <v>96</v>
      </c>
      <c r="M164" s="3" t="s">
        <v>97</v>
      </c>
      <c r="N164" s="3" t="s">
        <v>98</v>
      </c>
      <c r="O164" s="3" t="s">
        <v>78</v>
      </c>
      <c r="P164" s="3" t="s">
        <v>79</v>
      </c>
      <c r="Q164" s="3" t="s">
        <v>914</v>
      </c>
      <c r="R164" s="3" t="s">
        <v>915</v>
      </c>
      <c r="S164" s="18">
        <v>53.39</v>
      </c>
      <c r="T164" s="18">
        <v>7.72</v>
      </c>
      <c r="U164" s="18">
        <v>13.25</v>
      </c>
      <c r="V164" s="3" t="s">
        <v>101</v>
      </c>
      <c r="Z164" s="3" t="s">
        <v>264</v>
      </c>
      <c r="AB164" s="3">
        <v>560</v>
      </c>
      <c r="AC164" s="3" t="s">
        <v>102</v>
      </c>
      <c r="AD164" s="5">
        <v>34.0446123904063</v>
      </c>
      <c r="AE164" s="17">
        <v>-118.892995230534</v>
      </c>
      <c r="AG164" s="3" t="s">
        <v>916</v>
      </c>
      <c r="AH164" s="3">
        <v>2005</v>
      </c>
      <c r="AI164" s="3">
        <v>1</v>
      </c>
      <c r="AJ164" s="8">
        <v>7</v>
      </c>
      <c r="AK164" s="3">
        <v>2005</v>
      </c>
      <c r="AL164" s="3">
        <v>1</v>
      </c>
      <c r="AM164" s="3">
        <v>11</v>
      </c>
      <c r="AN164" s="29">
        <v>28</v>
      </c>
      <c r="AO164" s="3">
        <v>8</v>
      </c>
      <c r="AP164" s="3">
        <v>500</v>
      </c>
      <c r="AR164" s="3">
        <v>508</v>
      </c>
      <c r="AU164" s="3">
        <v>200000</v>
      </c>
      <c r="AV164" s="3">
        <v>299711</v>
      </c>
      <c r="AW164" s="3">
        <v>200000</v>
      </c>
      <c r="AX164" s="3">
        <v>299711</v>
      </c>
      <c r="AY164" s="3">
        <v>66.731057986202799</v>
      </c>
      <c r="AZ164" s="3" t="s">
        <v>206</v>
      </c>
      <c r="BA164" s="3" t="s">
        <v>917</v>
      </c>
      <c r="BB164" s="3" t="s">
        <v>918</v>
      </c>
      <c r="BC164" s="3" t="s">
        <v>919</v>
      </c>
      <c r="BD164" s="8">
        <v>3</v>
      </c>
    </row>
    <row r="165" spans="1:56" ht="14.25" customHeight="1" thickBot="1">
      <c r="A165" s="3" t="s">
        <v>920</v>
      </c>
      <c r="B165" s="3" t="s">
        <v>910</v>
      </c>
      <c r="C165" s="3" t="s">
        <v>921</v>
      </c>
      <c r="E165" s="3" t="s">
        <v>71</v>
      </c>
      <c r="F165" s="3">
        <f t="shared" si="0"/>
        <v>2</v>
      </c>
      <c r="G165" s="3" t="s">
        <v>72</v>
      </c>
      <c r="H165" s="3">
        <f t="shared" si="1"/>
        <v>2</v>
      </c>
      <c r="I165" s="3" t="s">
        <v>73</v>
      </c>
      <c r="J165" s="3" t="s">
        <v>74</v>
      </c>
      <c r="K165" s="3" t="s">
        <v>127</v>
      </c>
      <c r="M165" s="3" t="s">
        <v>97</v>
      </c>
      <c r="N165" s="3" t="s">
        <v>98</v>
      </c>
      <c r="O165" s="3" t="s">
        <v>78</v>
      </c>
      <c r="P165" s="3" t="s">
        <v>79</v>
      </c>
      <c r="Q165" s="3" t="s">
        <v>922</v>
      </c>
      <c r="S165" s="18">
        <v>19.37</v>
      </c>
      <c r="T165" s="18">
        <v>-15.08</v>
      </c>
      <c r="U165" s="18">
        <v>-4.24</v>
      </c>
      <c r="V165" s="3" t="s">
        <v>114</v>
      </c>
      <c r="AC165" s="3" t="s">
        <v>81</v>
      </c>
      <c r="AD165" s="6">
        <v>40.712730000000001</v>
      </c>
      <c r="AE165" s="6">
        <v>-74.006015000000005</v>
      </c>
      <c r="AH165" s="3">
        <v>2005</v>
      </c>
      <c r="AI165" s="3">
        <v>1</v>
      </c>
      <c r="AJ165" s="8">
        <v>22</v>
      </c>
      <c r="AK165" s="3">
        <v>2005</v>
      </c>
      <c r="AL165" s="3">
        <v>1</v>
      </c>
      <c r="AM165" s="3">
        <v>24</v>
      </c>
      <c r="AN165" s="29">
        <v>20</v>
      </c>
      <c r="AU165" s="3">
        <v>200000</v>
      </c>
      <c r="AV165" s="3">
        <v>299711</v>
      </c>
      <c r="AW165" s="3">
        <v>350000</v>
      </c>
      <c r="AX165" s="3">
        <v>524493</v>
      </c>
      <c r="AY165" s="3">
        <v>66.731057986202799</v>
      </c>
      <c r="AZ165" s="3" t="s">
        <v>89</v>
      </c>
      <c r="BA165" s="3" t="s">
        <v>923</v>
      </c>
      <c r="BC165" s="3" t="s">
        <v>924</v>
      </c>
      <c r="BD165" s="8">
        <v>0</v>
      </c>
    </row>
    <row r="166" spans="1:56" ht="14.25" customHeight="1" thickBot="1">
      <c r="A166" s="3" t="s">
        <v>925</v>
      </c>
      <c r="B166" s="3" t="s">
        <v>910</v>
      </c>
      <c r="C166" s="3" t="s">
        <v>926</v>
      </c>
      <c r="E166" s="3" t="s">
        <v>71</v>
      </c>
      <c r="F166" s="3">
        <f t="shared" si="0"/>
        <v>2</v>
      </c>
      <c r="G166" s="3" t="s">
        <v>72</v>
      </c>
      <c r="H166" s="3">
        <f t="shared" si="1"/>
        <v>2</v>
      </c>
      <c r="I166" s="3" t="s">
        <v>73</v>
      </c>
      <c r="J166" s="3" t="s">
        <v>74</v>
      </c>
      <c r="K166" s="3" t="s">
        <v>807</v>
      </c>
      <c r="M166" s="3" t="s">
        <v>97</v>
      </c>
      <c r="N166" s="3" t="s">
        <v>98</v>
      </c>
      <c r="O166" s="3" t="s">
        <v>78</v>
      </c>
      <c r="P166" s="3" t="s">
        <v>79</v>
      </c>
      <c r="Q166" s="3" t="s">
        <v>927</v>
      </c>
      <c r="S166" s="16">
        <v>41.64</v>
      </c>
      <c r="T166" s="18">
        <v>13.2</v>
      </c>
      <c r="U166" s="18">
        <v>23.15</v>
      </c>
      <c r="V166" s="3" t="s">
        <v>95</v>
      </c>
      <c r="Z166" s="3" t="s">
        <v>264</v>
      </c>
      <c r="AC166" s="3" t="s">
        <v>81</v>
      </c>
      <c r="AD166" s="10">
        <v>32.272840000000002</v>
      </c>
      <c r="AE166" s="11">
        <v>-90.018383</v>
      </c>
      <c r="AH166" s="3">
        <v>2005</v>
      </c>
      <c r="AI166" s="3">
        <v>4</v>
      </c>
      <c r="AJ166" s="8">
        <v>6</v>
      </c>
      <c r="AK166" s="3">
        <v>2005</v>
      </c>
      <c r="AL166" s="3">
        <v>4</v>
      </c>
      <c r="AM166" s="3">
        <v>8</v>
      </c>
      <c r="AN166" s="29">
        <v>0</v>
      </c>
      <c r="AO166" s="3">
        <v>8</v>
      </c>
      <c r="AP166" s="3">
        <v>45</v>
      </c>
      <c r="AQ166" s="3">
        <v>51</v>
      </c>
      <c r="AR166" s="3">
        <v>104</v>
      </c>
      <c r="AW166" s="3">
        <v>350000</v>
      </c>
      <c r="AX166" s="3">
        <v>524493</v>
      </c>
      <c r="AY166" s="3">
        <v>66.731057986202799</v>
      </c>
      <c r="AZ166" s="3" t="s">
        <v>82</v>
      </c>
      <c r="BB166" s="3" t="s">
        <v>928</v>
      </c>
      <c r="BC166" s="3" t="s">
        <v>929</v>
      </c>
      <c r="BD166" s="8">
        <v>3</v>
      </c>
    </row>
    <row r="167" spans="1:56" ht="14.25" customHeight="1" thickBot="1">
      <c r="A167" s="3" t="s">
        <v>930</v>
      </c>
      <c r="B167" s="3" t="s">
        <v>910</v>
      </c>
      <c r="C167" s="3" t="s">
        <v>304</v>
      </c>
      <c r="E167" s="3" t="s">
        <v>71</v>
      </c>
      <c r="F167" s="3">
        <f t="shared" si="0"/>
        <v>1</v>
      </c>
      <c r="G167" s="3" t="s">
        <v>94</v>
      </c>
      <c r="H167" s="3">
        <f t="shared" si="1"/>
        <v>1</v>
      </c>
      <c r="I167" s="3" t="s">
        <v>95</v>
      </c>
      <c r="J167" s="3" t="s">
        <v>96</v>
      </c>
      <c r="M167" s="3" t="s">
        <v>97</v>
      </c>
      <c r="N167" s="3" t="s">
        <v>98</v>
      </c>
      <c r="O167" s="3" t="s">
        <v>78</v>
      </c>
      <c r="P167" s="3" t="s">
        <v>79</v>
      </c>
      <c r="Q167" s="3" t="s">
        <v>931</v>
      </c>
      <c r="R167" s="3" t="s">
        <v>932</v>
      </c>
      <c r="S167" s="18">
        <v>20.54</v>
      </c>
      <c r="T167" s="18">
        <v>4.7699999999999996</v>
      </c>
      <c r="U167" s="18">
        <v>13.2</v>
      </c>
      <c r="Z167" s="3" t="s">
        <v>264</v>
      </c>
      <c r="AB167" s="3">
        <v>130500</v>
      </c>
      <c r="AC167" s="3" t="s">
        <v>102</v>
      </c>
      <c r="AD167" s="6">
        <v>40.075740000000003</v>
      </c>
      <c r="AE167" s="6">
        <v>-74.404161999999999</v>
      </c>
      <c r="AG167" s="3" t="s">
        <v>933</v>
      </c>
      <c r="AH167" s="3">
        <v>2005</v>
      </c>
      <c r="AI167" s="3">
        <v>4</v>
      </c>
      <c r="AJ167" s="8">
        <v>1</v>
      </c>
      <c r="AK167" s="3">
        <v>2005</v>
      </c>
      <c r="AL167" s="3">
        <v>4</v>
      </c>
      <c r="AM167" s="3">
        <v>6</v>
      </c>
      <c r="AN167" s="29">
        <v>2</v>
      </c>
      <c r="AP167" s="3">
        <v>11000</v>
      </c>
      <c r="AR167" s="3">
        <v>11000</v>
      </c>
      <c r="AW167" s="3">
        <v>30000</v>
      </c>
      <c r="AX167" s="3">
        <v>44957</v>
      </c>
      <c r="AY167" s="3">
        <v>66.731057986202799</v>
      </c>
      <c r="AZ167" s="3" t="s">
        <v>89</v>
      </c>
      <c r="BA167" s="3" t="s">
        <v>934</v>
      </c>
      <c r="BC167" s="3" t="s">
        <v>935</v>
      </c>
      <c r="BD167" s="8">
        <v>5</v>
      </c>
    </row>
    <row r="168" spans="1:56" ht="14.25" customHeight="1" thickBot="1">
      <c r="A168" s="3" t="s">
        <v>936</v>
      </c>
      <c r="B168" s="3" t="s">
        <v>910</v>
      </c>
      <c r="C168" s="3" t="s">
        <v>937</v>
      </c>
      <c r="E168" s="3" t="s">
        <v>71</v>
      </c>
      <c r="F168" s="3">
        <f t="shared" si="0"/>
        <v>1</v>
      </c>
      <c r="G168" s="3" t="s">
        <v>94</v>
      </c>
      <c r="H168" s="3">
        <f t="shared" si="1"/>
        <v>1</v>
      </c>
      <c r="I168" s="3" t="s">
        <v>95</v>
      </c>
      <c r="J168" s="3" t="s">
        <v>96</v>
      </c>
      <c r="M168" s="3" t="s">
        <v>76</v>
      </c>
      <c r="N168" s="3" t="s">
        <v>77</v>
      </c>
      <c r="O168" s="3" t="s">
        <v>78</v>
      </c>
      <c r="P168" s="3" t="s">
        <v>79</v>
      </c>
      <c r="Q168" s="3" t="s">
        <v>938</v>
      </c>
      <c r="R168" s="3" t="s">
        <v>200</v>
      </c>
      <c r="S168" s="18">
        <v>40.56</v>
      </c>
      <c r="T168" s="18">
        <v>9.64</v>
      </c>
      <c r="U168" s="18">
        <v>15.82</v>
      </c>
      <c r="Z168" s="3" t="s">
        <v>264</v>
      </c>
      <c r="AB168" s="3">
        <v>330</v>
      </c>
      <c r="AC168" s="3" t="s">
        <v>102</v>
      </c>
      <c r="AD168" s="5">
        <v>48.542243985313902</v>
      </c>
      <c r="AE168" s="17">
        <v>-58.565212587322797</v>
      </c>
      <c r="AG168" s="3" t="s">
        <v>939</v>
      </c>
      <c r="AH168" s="3">
        <v>2005</v>
      </c>
      <c r="AI168" s="3">
        <v>9</v>
      </c>
      <c r="AJ168" s="8">
        <v>27</v>
      </c>
      <c r="AK168" s="3">
        <v>2005</v>
      </c>
      <c r="AL168" s="3">
        <v>9</v>
      </c>
      <c r="AM168" s="3">
        <v>29</v>
      </c>
      <c r="AN168" s="29">
        <v>0</v>
      </c>
      <c r="AP168" s="3">
        <v>600</v>
      </c>
      <c r="AR168" s="3">
        <v>600</v>
      </c>
      <c r="AY168" s="3">
        <v>66.731057986202799</v>
      </c>
      <c r="AZ168" s="3" t="s">
        <v>82</v>
      </c>
      <c r="BB168" s="3" t="s">
        <v>940</v>
      </c>
      <c r="BC168" s="3" t="s">
        <v>941</v>
      </c>
      <c r="BD168" s="8">
        <v>3</v>
      </c>
    </row>
    <row r="169" spans="1:56" ht="14.25" customHeight="1" thickBot="1">
      <c r="A169" s="3" t="s">
        <v>942</v>
      </c>
      <c r="B169" s="3" t="s">
        <v>910</v>
      </c>
      <c r="C169" s="3" t="s">
        <v>943</v>
      </c>
      <c r="E169" s="3" t="s">
        <v>71</v>
      </c>
      <c r="F169" s="3">
        <f t="shared" si="0"/>
        <v>1</v>
      </c>
      <c r="G169" s="3" t="s">
        <v>94</v>
      </c>
      <c r="H169" s="3">
        <f t="shared" si="1"/>
        <v>1</v>
      </c>
      <c r="I169" s="3" t="s">
        <v>95</v>
      </c>
      <c r="J169" s="3" t="s">
        <v>96</v>
      </c>
      <c r="M169" s="3" t="s">
        <v>76</v>
      </c>
      <c r="N169" s="3" t="s">
        <v>77</v>
      </c>
      <c r="O169" s="3" t="s">
        <v>78</v>
      </c>
      <c r="P169" s="3" t="s">
        <v>79</v>
      </c>
      <c r="Q169" s="3" t="s">
        <v>944</v>
      </c>
      <c r="R169" s="3" t="s">
        <v>200</v>
      </c>
      <c r="S169" s="18">
        <v>58.82</v>
      </c>
      <c r="T169" s="18">
        <v>4.8</v>
      </c>
      <c r="U169" s="18">
        <v>7.41</v>
      </c>
      <c r="AB169" s="3">
        <v>86680</v>
      </c>
      <c r="AC169" s="3" t="s">
        <v>102</v>
      </c>
      <c r="AD169" s="6">
        <v>50.688360000000003</v>
      </c>
      <c r="AE169" s="6">
        <v>-114.232722</v>
      </c>
      <c r="AG169" s="3" t="s">
        <v>945</v>
      </c>
      <c r="AH169" s="3">
        <v>2005</v>
      </c>
      <c r="AI169" s="3">
        <v>6</v>
      </c>
      <c r="AJ169" s="8">
        <v>7</v>
      </c>
      <c r="AK169" s="3">
        <v>2005</v>
      </c>
      <c r="AL169" s="3">
        <v>7</v>
      </c>
      <c r="AM169" s="3">
        <v>1</v>
      </c>
      <c r="AN169" s="29">
        <v>4</v>
      </c>
      <c r="AP169" s="3">
        <v>5000</v>
      </c>
      <c r="AR169" s="3">
        <v>5000</v>
      </c>
      <c r="AU169" s="3">
        <v>186000</v>
      </c>
      <c r="AV169" s="3">
        <v>278731</v>
      </c>
      <c r="AW169" s="3">
        <v>357000</v>
      </c>
      <c r="AX169" s="3">
        <v>534983</v>
      </c>
      <c r="AY169" s="3">
        <v>66.731057986202799</v>
      </c>
      <c r="AZ169" s="3" t="s">
        <v>82</v>
      </c>
      <c r="BB169" s="3" t="s">
        <v>946</v>
      </c>
      <c r="BC169" s="3" t="s">
        <v>947</v>
      </c>
      <c r="BD169" s="8">
        <v>4</v>
      </c>
    </row>
    <row r="170" spans="1:56" ht="14.25" customHeight="1" thickBot="1">
      <c r="A170" s="3" t="s">
        <v>948</v>
      </c>
      <c r="B170" s="3" t="s">
        <v>910</v>
      </c>
      <c r="C170" s="3" t="s">
        <v>949</v>
      </c>
      <c r="E170" s="3" t="s">
        <v>71</v>
      </c>
      <c r="F170" s="3">
        <f t="shared" si="0"/>
        <v>3</v>
      </c>
      <c r="G170" s="3" t="s">
        <v>119</v>
      </c>
      <c r="H170" s="3">
        <f t="shared" si="1"/>
        <v>3</v>
      </c>
      <c r="I170" s="3" t="s">
        <v>122</v>
      </c>
      <c r="J170" s="3" t="s">
        <v>227</v>
      </c>
      <c r="M170" s="3" t="s">
        <v>76</v>
      </c>
      <c r="N170" s="3" t="s">
        <v>77</v>
      </c>
      <c r="O170" s="3" t="s">
        <v>78</v>
      </c>
      <c r="P170" s="3" t="s">
        <v>79</v>
      </c>
      <c r="Q170" s="3" t="s">
        <v>950</v>
      </c>
      <c r="S170" s="18">
        <v>0.86</v>
      </c>
      <c r="T170" s="18">
        <v>11.54</v>
      </c>
      <c r="U170" s="18">
        <v>23.68</v>
      </c>
      <c r="AB170" s="3">
        <v>4000</v>
      </c>
      <c r="AC170" s="3" t="s">
        <v>102</v>
      </c>
      <c r="AD170" s="6">
        <v>51.029470000000003</v>
      </c>
      <c r="AE170" s="6">
        <v>-114.094246</v>
      </c>
      <c r="AH170" s="3">
        <v>2005</v>
      </c>
      <c r="AI170" s="3">
        <v>7</v>
      </c>
      <c r="AJ170" s="8">
        <v>1</v>
      </c>
      <c r="AK170" s="3">
        <v>2005</v>
      </c>
      <c r="AL170" s="3">
        <v>7</v>
      </c>
      <c r="AN170" s="29">
        <v>0</v>
      </c>
      <c r="AY170" s="3">
        <v>66.731057986202799</v>
      </c>
      <c r="AZ170" s="3" t="s">
        <v>89</v>
      </c>
      <c r="BA170" s="3" t="s">
        <v>90</v>
      </c>
      <c r="BC170" s="3" t="s">
        <v>91</v>
      </c>
      <c r="BD170" s="8">
        <v>0</v>
      </c>
    </row>
    <row r="171" spans="1:56" ht="14.25" customHeight="1" thickBot="1">
      <c r="A171" s="3" t="s">
        <v>951</v>
      </c>
      <c r="B171" s="3" t="s">
        <v>910</v>
      </c>
      <c r="C171" s="3" t="s">
        <v>347</v>
      </c>
      <c r="E171" s="3" t="s">
        <v>71</v>
      </c>
      <c r="F171" s="3">
        <f t="shared" si="0"/>
        <v>3</v>
      </c>
      <c r="G171" s="3" t="s">
        <v>119</v>
      </c>
      <c r="H171" s="3">
        <f t="shared" si="1"/>
        <v>3</v>
      </c>
      <c r="I171" s="3" t="s">
        <v>122</v>
      </c>
      <c r="J171" s="3" t="s">
        <v>227</v>
      </c>
      <c r="M171" s="3" t="s">
        <v>76</v>
      </c>
      <c r="N171" s="3" t="s">
        <v>77</v>
      </c>
      <c r="O171" s="3" t="s">
        <v>78</v>
      </c>
      <c r="P171" s="3" t="s">
        <v>79</v>
      </c>
      <c r="Q171" s="3" t="s">
        <v>671</v>
      </c>
      <c r="R171" s="3" t="s">
        <v>952</v>
      </c>
      <c r="S171" s="18">
        <v>0</v>
      </c>
      <c r="T171" s="18">
        <v>13.78</v>
      </c>
      <c r="U171" s="18">
        <v>30.58</v>
      </c>
      <c r="AB171" s="3">
        <v>275</v>
      </c>
      <c r="AC171" s="3" t="s">
        <v>102</v>
      </c>
      <c r="AD171" s="6">
        <v>49.739730000000002</v>
      </c>
      <c r="AE171" s="6">
        <v>-95.136380000000003</v>
      </c>
      <c r="AH171" s="3">
        <v>2005</v>
      </c>
      <c r="AI171" s="3">
        <v>8</v>
      </c>
      <c r="AJ171" s="8">
        <v>1</v>
      </c>
      <c r="AK171" s="3">
        <v>2005</v>
      </c>
      <c r="AL171" s="3">
        <v>8</v>
      </c>
      <c r="AN171" s="29">
        <v>0</v>
      </c>
      <c r="AY171" s="3">
        <v>66.731057986202799</v>
      </c>
      <c r="AZ171" s="3" t="s">
        <v>89</v>
      </c>
      <c r="BA171" s="3" t="s">
        <v>672</v>
      </c>
      <c r="BC171" s="3" t="s">
        <v>673</v>
      </c>
      <c r="BD171" s="8">
        <v>0</v>
      </c>
    </row>
    <row r="172" spans="1:56" ht="14.25" customHeight="1" thickBot="1">
      <c r="A172" s="3" t="s">
        <v>953</v>
      </c>
      <c r="B172" s="3" t="s">
        <v>910</v>
      </c>
      <c r="C172" s="3" t="s">
        <v>954</v>
      </c>
      <c r="E172" s="3" t="s">
        <v>71</v>
      </c>
      <c r="F172" s="3">
        <f t="shared" si="0"/>
        <v>2</v>
      </c>
      <c r="G172" s="3" t="s">
        <v>72</v>
      </c>
      <c r="H172" s="3">
        <f t="shared" si="1"/>
        <v>2</v>
      </c>
      <c r="I172" s="3" t="s">
        <v>73</v>
      </c>
      <c r="M172" s="3" t="s">
        <v>76</v>
      </c>
      <c r="N172" s="3" t="s">
        <v>77</v>
      </c>
      <c r="O172" s="3" t="s">
        <v>78</v>
      </c>
      <c r="P172" s="3" t="s">
        <v>79</v>
      </c>
      <c r="Q172" s="3" t="s">
        <v>955</v>
      </c>
      <c r="S172" s="18">
        <v>30.2</v>
      </c>
      <c r="T172" s="18">
        <v>13.02</v>
      </c>
      <c r="U172" s="18">
        <v>19.510000000000002</v>
      </c>
      <c r="AC172" s="3" t="s">
        <v>81</v>
      </c>
      <c r="AD172" s="6">
        <v>45.50318</v>
      </c>
      <c r="AE172" s="6">
        <v>-73.569806</v>
      </c>
      <c r="AH172" s="3">
        <v>2005</v>
      </c>
      <c r="AI172" s="3">
        <v>9</v>
      </c>
      <c r="AJ172" s="8">
        <v>26</v>
      </c>
      <c r="AK172" s="3">
        <v>2005</v>
      </c>
      <c r="AL172" s="3">
        <v>9</v>
      </c>
      <c r="AM172" s="3">
        <v>29</v>
      </c>
      <c r="AN172" s="29">
        <v>0</v>
      </c>
      <c r="AP172" s="3">
        <v>300</v>
      </c>
      <c r="AR172" s="3">
        <v>300</v>
      </c>
      <c r="AY172" s="3">
        <v>66.731057986202799</v>
      </c>
      <c r="AZ172" s="3" t="s">
        <v>82</v>
      </c>
      <c r="BB172" s="3" t="s">
        <v>956</v>
      </c>
      <c r="BC172" s="3" t="s">
        <v>957</v>
      </c>
      <c r="BD172" s="8">
        <v>3</v>
      </c>
    </row>
    <row r="173" spans="1:56" ht="14.25" customHeight="1" thickBot="1">
      <c r="A173" s="3" t="s">
        <v>958</v>
      </c>
      <c r="B173" s="3" t="s">
        <v>959</v>
      </c>
      <c r="C173" s="3" t="s">
        <v>960</v>
      </c>
      <c r="E173" s="3" t="s">
        <v>71</v>
      </c>
      <c r="F173" s="3">
        <f t="shared" si="0"/>
        <v>1</v>
      </c>
      <c r="G173" s="3" t="s">
        <v>94</v>
      </c>
      <c r="H173" s="3">
        <f t="shared" si="1"/>
        <v>1</v>
      </c>
      <c r="I173" s="3" t="s">
        <v>95</v>
      </c>
      <c r="J173" s="3" t="s">
        <v>96</v>
      </c>
      <c r="M173" s="3" t="s">
        <v>76</v>
      </c>
      <c r="N173" s="3" t="s">
        <v>77</v>
      </c>
      <c r="O173" s="3" t="s">
        <v>78</v>
      </c>
      <c r="P173" s="3" t="s">
        <v>79</v>
      </c>
      <c r="Q173" s="3" t="s">
        <v>961</v>
      </c>
      <c r="R173" s="3" t="s">
        <v>438</v>
      </c>
      <c r="S173" s="18">
        <v>0</v>
      </c>
      <c r="T173" s="18">
        <v>-0.42</v>
      </c>
      <c r="U173" s="18">
        <v>15.15</v>
      </c>
      <c r="V173" s="3" t="s">
        <v>962</v>
      </c>
      <c r="AB173" s="3">
        <v>7030</v>
      </c>
      <c r="AC173" s="3" t="s">
        <v>102</v>
      </c>
      <c r="AD173" s="8">
        <v>52.53</v>
      </c>
      <c r="AE173" s="8">
        <v>-82.09</v>
      </c>
      <c r="AH173" s="3">
        <v>2006</v>
      </c>
      <c r="AI173" s="3">
        <v>4</v>
      </c>
      <c r="AJ173" s="8">
        <v>22</v>
      </c>
      <c r="AK173" s="3">
        <v>2006</v>
      </c>
      <c r="AL173" s="3">
        <v>5</v>
      </c>
      <c r="AM173" s="3">
        <v>31</v>
      </c>
      <c r="AN173" s="29">
        <v>0</v>
      </c>
      <c r="AP173" s="3">
        <v>2000</v>
      </c>
      <c r="AR173" s="3">
        <v>2000</v>
      </c>
      <c r="AY173" s="3">
        <v>68.883758712346406</v>
      </c>
      <c r="AZ173" s="3" t="s">
        <v>82</v>
      </c>
      <c r="BB173" s="3" t="s">
        <v>963</v>
      </c>
      <c r="BC173" s="3" t="s">
        <v>964</v>
      </c>
      <c r="BD173" s="8">
        <v>4</v>
      </c>
    </row>
    <row r="174" spans="1:56" ht="14.25" customHeight="1" thickBot="1">
      <c r="A174" s="3" t="s">
        <v>965</v>
      </c>
      <c r="B174" s="3" t="s">
        <v>959</v>
      </c>
      <c r="C174" s="3" t="s">
        <v>304</v>
      </c>
      <c r="E174" s="3" t="s">
        <v>71</v>
      </c>
      <c r="F174" s="3">
        <f t="shared" si="0"/>
        <v>1</v>
      </c>
      <c r="G174" s="3" t="s">
        <v>94</v>
      </c>
      <c r="H174" s="3">
        <f t="shared" si="1"/>
        <v>1</v>
      </c>
      <c r="I174" s="3" t="s">
        <v>95</v>
      </c>
      <c r="J174" s="3" t="s">
        <v>96</v>
      </c>
      <c r="M174" s="3" t="s">
        <v>76</v>
      </c>
      <c r="N174" s="3" t="s">
        <v>77</v>
      </c>
      <c r="O174" s="3" t="s">
        <v>78</v>
      </c>
      <c r="P174" s="3" t="s">
        <v>79</v>
      </c>
      <c r="Q174" s="3" t="s">
        <v>966</v>
      </c>
      <c r="R174" s="3" t="s">
        <v>100</v>
      </c>
      <c r="S174" s="18">
        <v>20.71</v>
      </c>
      <c r="T174" s="18">
        <v>0.48</v>
      </c>
      <c r="U174" s="18">
        <v>2.96</v>
      </c>
      <c r="Z174" s="3" t="s">
        <v>264</v>
      </c>
      <c r="AB174" s="3">
        <v>730</v>
      </c>
      <c r="AC174" s="3" t="s">
        <v>102</v>
      </c>
      <c r="AD174" s="8">
        <v>49.72</v>
      </c>
      <c r="AE174" s="8">
        <v>-56.05</v>
      </c>
      <c r="AH174" s="3">
        <v>2006</v>
      </c>
      <c r="AI174" s="3">
        <v>4</v>
      </c>
      <c r="AJ174" s="8">
        <v>18</v>
      </c>
      <c r="AK174" s="3">
        <v>2006</v>
      </c>
      <c r="AL174" s="3">
        <v>4</v>
      </c>
      <c r="AM174" s="3">
        <v>24</v>
      </c>
      <c r="AN174" s="29">
        <v>0</v>
      </c>
      <c r="AP174" s="3">
        <v>200</v>
      </c>
      <c r="AR174" s="3">
        <v>200</v>
      </c>
      <c r="AY174" s="3">
        <v>68.883758712346406</v>
      </c>
      <c r="AZ174" s="3" t="s">
        <v>82</v>
      </c>
      <c r="BB174" s="3" t="s">
        <v>967</v>
      </c>
      <c r="BC174" s="3" t="s">
        <v>84</v>
      </c>
      <c r="BD174" s="8">
        <v>3</v>
      </c>
    </row>
    <row r="175" spans="1:56" ht="14.25" customHeight="1" thickBot="1">
      <c r="A175" s="3" t="s">
        <v>968</v>
      </c>
      <c r="B175" s="3" t="s">
        <v>959</v>
      </c>
      <c r="C175" s="3" t="s">
        <v>969</v>
      </c>
      <c r="E175" s="3" t="s">
        <v>71</v>
      </c>
      <c r="F175" s="3">
        <f t="shared" si="0"/>
        <v>1</v>
      </c>
      <c r="G175" s="3" t="s">
        <v>94</v>
      </c>
      <c r="H175" s="3">
        <f t="shared" si="1"/>
        <v>1</v>
      </c>
      <c r="I175" s="3" t="s">
        <v>95</v>
      </c>
      <c r="J175" s="3" t="s">
        <v>96</v>
      </c>
      <c r="M175" s="3" t="s">
        <v>76</v>
      </c>
      <c r="N175" s="3" t="s">
        <v>77</v>
      </c>
      <c r="O175" s="3" t="s">
        <v>78</v>
      </c>
      <c r="P175" s="3" t="s">
        <v>79</v>
      </c>
      <c r="Q175" s="3" t="s">
        <v>970</v>
      </c>
      <c r="R175" s="3" t="s">
        <v>100</v>
      </c>
      <c r="S175" s="18">
        <v>0</v>
      </c>
      <c r="T175" s="18">
        <v>-0.05</v>
      </c>
      <c r="U175" s="18">
        <v>10.130000000000001</v>
      </c>
      <c r="AB175" s="3">
        <v>63270</v>
      </c>
      <c r="AC175" s="3" t="s">
        <v>102</v>
      </c>
      <c r="AD175" s="8">
        <v>53.54</v>
      </c>
      <c r="AE175" s="8">
        <v>-99.99</v>
      </c>
      <c r="AG175" s="3" t="s">
        <v>971</v>
      </c>
      <c r="AH175" s="3">
        <v>2006</v>
      </c>
      <c r="AI175" s="3">
        <v>4</v>
      </c>
      <c r="AJ175" s="8">
        <v>12</v>
      </c>
      <c r="AK175" s="3">
        <v>2006</v>
      </c>
      <c r="AL175" s="3">
        <v>4</v>
      </c>
      <c r="AM175" s="3">
        <v>20</v>
      </c>
      <c r="AN175" s="29">
        <v>0</v>
      </c>
      <c r="AP175" s="3">
        <v>1000</v>
      </c>
      <c r="AR175" s="3">
        <v>1000</v>
      </c>
      <c r="AY175" s="3">
        <v>68.883758712346406</v>
      </c>
      <c r="AZ175" s="3" t="s">
        <v>82</v>
      </c>
      <c r="BB175" s="3" t="s">
        <v>972</v>
      </c>
      <c r="BC175" s="3" t="s">
        <v>973</v>
      </c>
      <c r="BD175" s="8">
        <v>4</v>
      </c>
    </row>
    <row r="176" spans="1:56" ht="14.25" customHeight="1" thickBot="1">
      <c r="A176" s="3" t="s">
        <v>974</v>
      </c>
      <c r="B176" s="3" t="s">
        <v>959</v>
      </c>
      <c r="C176" s="3" t="s">
        <v>975</v>
      </c>
      <c r="E176" s="3" t="s">
        <v>71</v>
      </c>
      <c r="F176" s="3">
        <f t="shared" si="0"/>
        <v>1</v>
      </c>
      <c r="G176" s="3" t="s">
        <v>94</v>
      </c>
      <c r="H176" s="3">
        <f t="shared" si="1"/>
        <v>1</v>
      </c>
      <c r="I176" s="3" t="s">
        <v>95</v>
      </c>
      <c r="J176" s="3" t="s">
        <v>96</v>
      </c>
      <c r="M176" s="3" t="s">
        <v>76</v>
      </c>
      <c r="N176" s="3" t="s">
        <v>77</v>
      </c>
      <c r="O176" s="3" t="s">
        <v>78</v>
      </c>
      <c r="P176" s="3" t="s">
        <v>79</v>
      </c>
      <c r="Q176" s="3" t="s">
        <v>976</v>
      </c>
      <c r="R176" s="3" t="s">
        <v>438</v>
      </c>
      <c r="S176" s="18">
        <v>1.29</v>
      </c>
      <c r="T176" s="18">
        <v>1.02</v>
      </c>
      <c r="U176" s="18">
        <v>7.59</v>
      </c>
      <c r="AB176" s="3">
        <v>3210</v>
      </c>
      <c r="AC176" s="3" t="s">
        <v>102</v>
      </c>
      <c r="AD176" s="21">
        <v>68.356285999999997</v>
      </c>
      <c r="AE176" s="22">
        <v>-133.71012500000001</v>
      </c>
      <c r="AG176" s="3" t="s">
        <v>977</v>
      </c>
      <c r="AH176" s="3">
        <v>2006</v>
      </c>
      <c r="AI176" s="3">
        <v>5</v>
      </c>
      <c r="AJ176" s="8">
        <v>26</v>
      </c>
      <c r="AK176" s="3">
        <v>2006</v>
      </c>
      <c r="AL176" s="3">
        <v>6</v>
      </c>
      <c r="AM176" s="3">
        <v>2</v>
      </c>
      <c r="AN176" s="29">
        <v>0</v>
      </c>
      <c r="AP176" s="3">
        <v>300</v>
      </c>
      <c r="AR176" s="3">
        <v>300</v>
      </c>
      <c r="AY176" s="3">
        <v>68.883758712346406</v>
      </c>
      <c r="AZ176" s="3" t="s">
        <v>82</v>
      </c>
      <c r="BB176" s="3" t="s">
        <v>978</v>
      </c>
      <c r="BC176" s="3" t="s">
        <v>979</v>
      </c>
      <c r="BD176" s="8">
        <v>3</v>
      </c>
    </row>
    <row r="177" spans="1:56" ht="14.25" customHeight="1" thickBot="1">
      <c r="A177" s="3" t="s">
        <v>980</v>
      </c>
      <c r="B177" s="3" t="s">
        <v>959</v>
      </c>
      <c r="C177" s="3" t="s">
        <v>981</v>
      </c>
      <c r="E177" s="3" t="s">
        <v>71</v>
      </c>
      <c r="F177" s="3">
        <f t="shared" si="0"/>
        <v>1</v>
      </c>
      <c r="G177" s="3" t="s">
        <v>94</v>
      </c>
      <c r="H177" s="3">
        <f t="shared" si="1"/>
        <v>1</v>
      </c>
      <c r="I177" s="3" t="s">
        <v>95</v>
      </c>
      <c r="J177" s="3" t="s">
        <v>96</v>
      </c>
      <c r="M177" s="3" t="s">
        <v>76</v>
      </c>
      <c r="N177" s="3" t="s">
        <v>77</v>
      </c>
      <c r="O177" s="3" t="s">
        <v>78</v>
      </c>
      <c r="P177" s="3" t="s">
        <v>79</v>
      </c>
      <c r="Q177" s="3" t="s">
        <v>982</v>
      </c>
      <c r="R177" s="3" t="s">
        <v>983</v>
      </c>
      <c r="S177" s="18">
        <v>0</v>
      </c>
      <c r="T177" s="18">
        <v>1.84</v>
      </c>
      <c r="U177" s="18">
        <v>11.99</v>
      </c>
      <c r="AC177" s="3" t="s">
        <v>102</v>
      </c>
      <c r="AD177" s="8">
        <v>50.13</v>
      </c>
      <c r="AE177" s="8">
        <v>-99.99</v>
      </c>
      <c r="AG177" s="3" t="s">
        <v>984</v>
      </c>
      <c r="AH177" s="3">
        <v>2006</v>
      </c>
      <c r="AI177" s="3">
        <v>5</v>
      </c>
      <c r="AJ177" s="8">
        <v>20</v>
      </c>
      <c r="AK177" s="3">
        <v>2006</v>
      </c>
      <c r="AL177" s="3">
        <v>5</v>
      </c>
      <c r="AM177" s="3">
        <v>28</v>
      </c>
      <c r="AN177" s="29">
        <v>1</v>
      </c>
      <c r="AP177" s="3">
        <v>400</v>
      </c>
      <c r="AR177" s="3">
        <v>400</v>
      </c>
      <c r="AY177" s="3">
        <v>68.883758712346406</v>
      </c>
      <c r="AZ177" s="3" t="s">
        <v>82</v>
      </c>
      <c r="BB177" s="3" t="s">
        <v>985</v>
      </c>
      <c r="BC177" s="3" t="s">
        <v>986</v>
      </c>
      <c r="BD177" s="8">
        <v>3</v>
      </c>
    </row>
    <row r="178" spans="1:56" ht="14.25" customHeight="1" thickBot="1">
      <c r="A178" s="3" t="s">
        <v>987</v>
      </c>
      <c r="B178" s="3" t="s">
        <v>988</v>
      </c>
      <c r="C178" s="3" t="s">
        <v>989</v>
      </c>
      <c r="E178" s="3" t="s">
        <v>71</v>
      </c>
      <c r="F178" s="3">
        <f t="shared" si="0"/>
        <v>2</v>
      </c>
      <c r="G178" s="3" t="s">
        <v>72</v>
      </c>
      <c r="H178" s="3">
        <f t="shared" si="1"/>
        <v>2</v>
      </c>
      <c r="I178" s="3" t="s">
        <v>73</v>
      </c>
      <c r="J178" s="3" t="s">
        <v>74</v>
      </c>
      <c r="K178" s="3" t="s">
        <v>127</v>
      </c>
      <c r="M178" s="3" t="s">
        <v>76</v>
      </c>
      <c r="N178" s="3" t="s">
        <v>77</v>
      </c>
      <c r="O178" s="3" t="s">
        <v>78</v>
      </c>
      <c r="P178" s="3" t="s">
        <v>79</v>
      </c>
      <c r="Q178" s="3" t="s">
        <v>990</v>
      </c>
      <c r="S178" s="18">
        <v>0</v>
      </c>
      <c r="T178" s="18">
        <v>-30.44</v>
      </c>
      <c r="U178" s="18">
        <v>-15.53</v>
      </c>
      <c r="V178" s="3" t="s">
        <v>114</v>
      </c>
      <c r="AC178" s="3" t="s">
        <v>81</v>
      </c>
      <c r="AD178" s="6">
        <v>49.739730000000002</v>
      </c>
      <c r="AE178" s="6">
        <v>-95.136380000000003</v>
      </c>
      <c r="AH178" s="3">
        <v>2007</v>
      </c>
      <c r="AI178" s="3">
        <v>2</v>
      </c>
      <c r="AJ178" s="8">
        <v>14</v>
      </c>
      <c r="AK178" s="3">
        <v>2007</v>
      </c>
      <c r="AL178" s="3">
        <v>2</v>
      </c>
      <c r="AM178" s="3">
        <v>15</v>
      </c>
      <c r="AN178" s="29">
        <v>2</v>
      </c>
      <c r="AY178" s="3">
        <v>70.848792703252997</v>
      </c>
      <c r="AZ178" s="3" t="s">
        <v>89</v>
      </c>
      <c r="BA178" s="3" t="s">
        <v>991</v>
      </c>
      <c r="BC178" s="3" t="s">
        <v>992</v>
      </c>
      <c r="BD178" s="8">
        <v>0</v>
      </c>
    </row>
    <row r="179" spans="1:56" ht="14.25" customHeight="1" thickBot="1">
      <c r="A179" s="3" t="s">
        <v>993</v>
      </c>
      <c r="B179" s="3" t="s">
        <v>988</v>
      </c>
      <c r="C179" s="3" t="s">
        <v>479</v>
      </c>
      <c r="E179" s="3" t="s">
        <v>71</v>
      </c>
      <c r="F179" s="3">
        <f t="shared" si="0"/>
        <v>1</v>
      </c>
      <c r="G179" s="3" t="s">
        <v>94</v>
      </c>
      <c r="H179" s="3">
        <f t="shared" si="1"/>
        <v>1</v>
      </c>
      <c r="I179" s="3" t="s">
        <v>95</v>
      </c>
      <c r="J179" s="3" t="s">
        <v>96</v>
      </c>
      <c r="M179" s="3" t="s">
        <v>76</v>
      </c>
      <c r="N179" s="3" t="s">
        <v>77</v>
      </c>
      <c r="O179" s="3" t="s">
        <v>78</v>
      </c>
      <c r="P179" s="3" t="s">
        <v>79</v>
      </c>
      <c r="Q179" s="3" t="s">
        <v>994</v>
      </c>
      <c r="R179" s="3" t="s">
        <v>438</v>
      </c>
      <c r="S179" s="18">
        <v>10.27</v>
      </c>
      <c r="T179" s="18">
        <v>7.67</v>
      </c>
      <c r="U179" s="18">
        <v>12.96</v>
      </c>
      <c r="AB179" s="3">
        <v>205000</v>
      </c>
      <c r="AC179" s="3" t="s">
        <v>102</v>
      </c>
      <c r="AD179" s="8">
        <v>54.18</v>
      </c>
      <c r="AE179" s="8">
        <v>-125.03</v>
      </c>
      <c r="AG179" s="3" t="s">
        <v>995</v>
      </c>
      <c r="AH179" s="3">
        <v>2007</v>
      </c>
      <c r="AI179" s="3">
        <v>6</v>
      </c>
      <c r="AJ179" s="8">
        <v>6</v>
      </c>
      <c r="AK179" s="3">
        <v>2007</v>
      </c>
      <c r="AL179" s="3">
        <v>6</v>
      </c>
      <c r="AM179" s="3">
        <v>11</v>
      </c>
      <c r="AN179" s="29">
        <v>0</v>
      </c>
      <c r="AP179" s="3">
        <v>500</v>
      </c>
      <c r="AR179" s="3">
        <v>500</v>
      </c>
      <c r="AY179" s="3">
        <v>70.848792703252997</v>
      </c>
      <c r="AZ179" s="3" t="s">
        <v>82</v>
      </c>
      <c r="BB179" s="3" t="s">
        <v>996</v>
      </c>
      <c r="BC179" s="3" t="s">
        <v>997</v>
      </c>
      <c r="BD179" s="8">
        <v>3</v>
      </c>
    </row>
    <row r="180" spans="1:56" ht="14.25" customHeight="1" thickBot="1">
      <c r="A180" s="3" t="s">
        <v>998</v>
      </c>
      <c r="B180" s="3" t="s">
        <v>910</v>
      </c>
      <c r="C180" s="3" t="s">
        <v>999</v>
      </c>
      <c r="E180" s="3" t="s">
        <v>71</v>
      </c>
      <c r="F180" s="3">
        <f t="shared" si="0"/>
        <v>2</v>
      </c>
      <c r="G180" s="3" t="s">
        <v>72</v>
      </c>
      <c r="H180" s="3">
        <f t="shared" si="1"/>
        <v>2</v>
      </c>
      <c r="I180" s="3" t="s">
        <v>73</v>
      </c>
      <c r="J180" s="3" t="s">
        <v>212</v>
      </c>
      <c r="L180" s="3" t="s">
        <v>1000</v>
      </c>
      <c r="M180" s="3" t="s">
        <v>97</v>
      </c>
      <c r="N180" s="3" t="s">
        <v>98</v>
      </c>
      <c r="O180" s="3" t="s">
        <v>78</v>
      </c>
      <c r="P180" s="3" t="s">
        <v>79</v>
      </c>
      <c r="Q180" s="3" t="s">
        <v>1001</v>
      </c>
      <c r="S180" s="18">
        <v>77.290000000000006</v>
      </c>
      <c r="T180" s="18">
        <v>25.29</v>
      </c>
      <c r="U180" s="18">
        <v>30.6</v>
      </c>
      <c r="V180" s="3" t="s">
        <v>95</v>
      </c>
      <c r="W180" s="3" t="s">
        <v>962</v>
      </c>
      <c r="Z180" s="3" t="s">
        <v>264</v>
      </c>
      <c r="AB180" s="3">
        <v>280</v>
      </c>
      <c r="AC180" s="3" t="s">
        <v>81</v>
      </c>
      <c r="AD180" s="10">
        <v>30.252289999999999</v>
      </c>
      <c r="AE180" s="11">
        <v>-88.122255999999993</v>
      </c>
      <c r="AH180" s="3">
        <v>2005</v>
      </c>
      <c r="AI180" s="3">
        <v>8</v>
      </c>
      <c r="AJ180" s="8">
        <v>29</v>
      </c>
      <c r="AK180" s="3">
        <v>2005</v>
      </c>
      <c r="AL180" s="3">
        <v>9</v>
      </c>
      <c r="AM180" s="3">
        <v>19</v>
      </c>
      <c r="AN180" s="29">
        <v>1833</v>
      </c>
      <c r="AP180" s="3">
        <v>500000</v>
      </c>
      <c r="AR180" s="3">
        <v>500000</v>
      </c>
      <c r="AU180" s="3">
        <v>60000000</v>
      </c>
      <c r="AV180" s="3">
        <v>89913156</v>
      </c>
      <c r="AW180" s="3">
        <v>125000000</v>
      </c>
      <c r="AX180" s="3">
        <v>187319074</v>
      </c>
      <c r="AY180" s="3">
        <v>66.731057986202799</v>
      </c>
      <c r="AZ180" s="3" t="s">
        <v>206</v>
      </c>
      <c r="BA180" s="3" t="s">
        <v>1002</v>
      </c>
      <c r="BB180" s="3" t="s">
        <v>1003</v>
      </c>
      <c r="BC180" s="3" t="s">
        <v>1004</v>
      </c>
      <c r="BD180" s="8">
        <v>6</v>
      </c>
    </row>
    <row r="181" spans="1:56" ht="14.25" customHeight="1" thickBot="1">
      <c r="A181" s="3" t="s">
        <v>1005</v>
      </c>
      <c r="B181" s="3" t="s">
        <v>910</v>
      </c>
      <c r="C181" s="3" t="s">
        <v>1006</v>
      </c>
      <c r="E181" s="3" t="s">
        <v>71</v>
      </c>
      <c r="F181" s="3">
        <f t="shared" si="0"/>
        <v>1</v>
      </c>
      <c r="G181" s="3" t="s">
        <v>94</v>
      </c>
      <c r="H181" s="3">
        <f t="shared" si="1"/>
        <v>1</v>
      </c>
      <c r="I181" s="3" t="s">
        <v>95</v>
      </c>
      <c r="J181" s="3" t="s">
        <v>96</v>
      </c>
      <c r="M181" s="3" t="s">
        <v>97</v>
      </c>
      <c r="N181" s="3" t="s">
        <v>98</v>
      </c>
      <c r="O181" s="3" t="s">
        <v>78</v>
      </c>
      <c r="P181" s="3" t="s">
        <v>79</v>
      </c>
      <c r="Q181" s="3" t="s">
        <v>1007</v>
      </c>
      <c r="R181" s="3" t="s">
        <v>73</v>
      </c>
      <c r="S181" s="18">
        <v>35.29</v>
      </c>
      <c r="T181" s="18">
        <v>2.23</v>
      </c>
      <c r="U181" s="18">
        <v>8.0399999999999991</v>
      </c>
      <c r="V181" s="3" t="s">
        <v>101</v>
      </c>
      <c r="W181" s="3" t="s">
        <v>683</v>
      </c>
      <c r="Z181" s="3" t="s">
        <v>264</v>
      </c>
      <c r="AB181" s="3">
        <v>140500</v>
      </c>
      <c r="AC181" s="3" t="s">
        <v>102</v>
      </c>
      <c r="AD181" s="5">
        <v>39.5176015574933</v>
      </c>
      <c r="AE181" s="17">
        <v>-119.813085485426</v>
      </c>
      <c r="AG181" s="3" t="s">
        <v>1008</v>
      </c>
      <c r="AH181" s="3">
        <v>2005</v>
      </c>
      <c r="AI181" s="3">
        <v>12</v>
      </c>
      <c r="AJ181" s="8">
        <v>31</v>
      </c>
      <c r="AK181" s="3">
        <v>2006</v>
      </c>
      <c r="AL181" s="3">
        <v>1</v>
      </c>
      <c r="AM181" s="3">
        <v>18</v>
      </c>
      <c r="AN181" s="29">
        <v>3</v>
      </c>
      <c r="AP181" s="3">
        <v>3600</v>
      </c>
      <c r="AR181" s="3">
        <v>3600</v>
      </c>
      <c r="AW181" s="3">
        <v>245000</v>
      </c>
      <c r="AX181" s="3">
        <v>367145</v>
      </c>
      <c r="AY181" s="3">
        <v>66.731057986202799</v>
      </c>
      <c r="AZ181" s="3" t="s">
        <v>82</v>
      </c>
      <c r="BB181" s="3" t="s">
        <v>1009</v>
      </c>
      <c r="BC181" s="3" t="s">
        <v>1010</v>
      </c>
      <c r="BD181" s="8">
        <v>4</v>
      </c>
    </row>
    <row r="182" spans="1:56" ht="14.25" customHeight="1" thickBot="1">
      <c r="A182" s="3" t="s">
        <v>1011</v>
      </c>
      <c r="B182" s="3" t="s">
        <v>910</v>
      </c>
      <c r="C182" s="3" t="s">
        <v>1012</v>
      </c>
      <c r="E182" s="3" t="s">
        <v>71</v>
      </c>
      <c r="F182" s="3">
        <f t="shared" si="0"/>
        <v>2</v>
      </c>
      <c r="G182" s="3" t="s">
        <v>72</v>
      </c>
      <c r="H182" s="3">
        <f t="shared" si="1"/>
        <v>2</v>
      </c>
      <c r="I182" s="3" t="s">
        <v>73</v>
      </c>
      <c r="J182" s="3" t="s">
        <v>212</v>
      </c>
      <c r="L182" s="3" t="s">
        <v>1013</v>
      </c>
      <c r="M182" s="3" t="s">
        <v>97</v>
      </c>
      <c r="N182" s="3" t="s">
        <v>98</v>
      </c>
      <c r="O182" s="3" t="s">
        <v>78</v>
      </c>
      <c r="P182" s="3" t="s">
        <v>79</v>
      </c>
      <c r="Q182" s="3" t="s">
        <v>1014</v>
      </c>
      <c r="S182" s="18">
        <v>10.08</v>
      </c>
      <c r="T182" s="18">
        <v>24.5</v>
      </c>
      <c r="U182" s="18">
        <v>27.6</v>
      </c>
      <c r="V182" s="3" t="s">
        <v>683</v>
      </c>
      <c r="W182" s="3" t="s">
        <v>95</v>
      </c>
      <c r="Z182" s="3" t="s">
        <v>264</v>
      </c>
      <c r="AB182" s="3">
        <v>165</v>
      </c>
      <c r="AC182" s="3" t="s">
        <v>81</v>
      </c>
      <c r="AD182" s="10">
        <v>25.184760000000001</v>
      </c>
      <c r="AE182" s="11">
        <v>-80.36712</v>
      </c>
      <c r="AH182" s="3">
        <v>2005</v>
      </c>
      <c r="AI182" s="3">
        <v>10</v>
      </c>
      <c r="AJ182" s="8">
        <v>24</v>
      </c>
      <c r="AK182" s="3">
        <v>2005</v>
      </c>
      <c r="AL182" s="3">
        <v>10</v>
      </c>
      <c r="AM182" s="3">
        <v>24</v>
      </c>
      <c r="AN182" s="29">
        <v>4</v>
      </c>
      <c r="AP182" s="3">
        <v>30000</v>
      </c>
      <c r="AR182" s="3">
        <v>30000</v>
      </c>
      <c r="AU182" s="3">
        <v>10350000</v>
      </c>
      <c r="AV182" s="3">
        <v>15510019</v>
      </c>
      <c r="AW182" s="3">
        <v>14300000</v>
      </c>
      <c r="AX182" s="3">
        <v>21429302</v>
      </c>
      <c r="AY182" s="3">
        <v>66.731057986202799</v>
      </c>
      <c r="AZ182" s="3" t="s">
        <v>82</v>
      </c>
      <c r="BB182" s="3" t="s">
        <v>1015</v>
      </c>
      <c r="BC182" s="3" t="s">
        <v>1016</v>
      </c>
      <c r="BD182" s="8">
        <v>5</v>
      </c>
    </row>
    <row r="183" spans="1:56" ht="14.25" customHeight="1" thickBot="1">
      <c r="A183" s="3" t="s">
        <v>1017</v>
      </c>
      <c r="B183" s="3" t="s">
        <v>910</v>
      </c>
      <c r="C183" s="3" t="s">
        <v>1018</v>
      </c>
      <c r="E183" s="3" t="s">
        <v>71</v>
      </c>
      <c r="F183" s="3">
        <f t="shared" si="0"/>
        <v>1</v>
      </c>
      <c r="G183" s="3" t="s">
        <v>94</v>
      </c>
      <c r="H183" s="3">
        <f t="shared" si="1"/>
        <v>1</v>
      </c>
      <c r="I183" s="3" t="s">
        <v>95</v>
      </c>
      <c r="J183" s="3" t="s">
        <v>185</v>
      </c>
      <c r="M183" s="3" t="s">
        <v>97</v>
      </c>
      <c r="N183" s="3" t="s">
        <v>98</v>
      </c>
      <c r="O183" s="3" t="s">
        <v>78</v>
      </c>
      <c r="P183" s="3" t="s">
        <v>79</v>
      </c>
      <c r="Q183" s="3" t="s">
        <v>1019</v>
      </c>
      <c r="S183" s="18">
        <v>4.55</v>
      </c>
      <c r="T183" s="18">
        <v>-1.54</v>
      </c>
      <c r="U183" s="18">
        <v>3.74</v>
      </c>
      <c r="V183" s="3" t="s">
        <v>683</v>
      </c>
      <c r="Z183" s="3" t="s">
        <v>264</v>
      </c>
      <c r="AC183" s="3" t="s">
        <v>102</v>
      </c>
      <c r="AD183" s="5">
        <v>44.064169783422102</v>
      </c>
      <c r="AE183" s="17">
        <v>-114.369559756182</v>
      </c>
      <c r="AH183" s="3">
        <v>2005</v>
      </c>
      <c r="AI183" s="3">
        <v>5</v>
      </c>
      <c r="AJ183" s="8">
        <v>6</v>
      </c>
      <c r="AK183" s="3">
        <v>2005</v>
      </c>
      <c r="AL183" s="3">
        <v>5</v>
      </c>
      <c r="AM183" s="3">
        <v>8</v>
      </c>
      <c r="AN183" s="29">
        <v>0</v>
      </c>
      <c r="AW183" s="3">
        <v>5330</v>
      </c>
      <c r="AX183" s="3">
        <v>7987</v>
      </c>
      <c r="AY183" s="3">
        <v>66.731057986202799</v>
      </c>
      <c r="AZ183" s="3" t="s">
        <v>89</v>
      </c>
      <c r="BA183" s="3" t="s">
        <v>1020</v>
      </c>
      <c r="BC183" s="3" t="s">
        <v>1021</v>
      </c>
      <c r="BD183" s="8">
        <v>0</v>
      </c>
    </row>
    <row r="184" spans="1:56" ht="14.25" customHeight="1" thickBot="1">
      <c r="A184" s="3" t="s">
        <v>1022</v>
      </c>
      <c r="B184" s="3" t="s">
        <v>910</v>
      </c>
      <c r="C184" s="3" t="s">
        <v>1023</v>
      </c>
      <c r="E184" s="3" t="s">
        <v>71</v>
      </c>
      <c r="F184" s="3">
        <f t="shared" si="0"/>
        <v>1</v>
      </c>
      <c r="G184" s="3" t="s">
        <v>94</v>
      </c>
      <c r="H184" s="3">
        <f t="shared" si="1"/>
        <v>1</v>
      </c>
      <c r="I184" s="3" t="s">
        <v>95</v>
      </c>
      <c r="J184" s="3" t="s">
        <v>96</v>
      </c>
      <c r="M184" s="3" t="s">
        <v>97</v>
      </c>
      <c r="N184" s="3" t="s">
        <v>98</v>
      </c>
      <c r="O184" s="3" t="s">
        <v>78</v>
      </c>
      <c r="P184" s="3" t="s">
        <v>79</v>
      </c>
      <c r="Q184" s="3" t="s">
        <v>1024</v>
      </c>
      <c r="R184" s="3" t="s">
        <v>100</v>
      </c>
      <c r="S184" s="18">
        <v>178.11</v>
      </c>
      <c r="T184" s="18">
        <v>16.079999999999998</v>
      </c>
      <c r="U184" s="18">
        <v>20.67</v>
      </c>
      <c r="V184" s="3" t="s">
        <v>683</v>
      </c>
      <c r="AB184" s="3">
        <v>38290</v>
      </c>
      <c r="AC184" s="3" t="s">
        <v>102</v>
      </c>
      <c r="AD184" s="6">
        <v>42.933599999999998</v>
      </c>
      <c r="AE184" s="6">
        <v>-72.278425999999996</v>
      </c>
      <c r="AG184" s="3" t="s">
        <v>1025</v>
      </c>
      <c r="AH184" s="3">
        <v>2005</v>
      </c>
      <c r="AI184" s="3">
        <v>10</v>
      </c>
      <c r="AJ184" s="8">
        <v>8</v>
      </c>
      <c r="AK184" s="3">
        <v>2005</v>
      </c>
      <c r="AL184" s="3">
        <v>10</v>
      </c>
      <c r="AM184" s="3">
        <v>16</v>
      </c>
      <c r="AN184" s="29">
        <v>11</v>
      </c>
      <c r="AP184" s="3">
        <v>3000</v>
      </c>
      <c r="AR184" s="3">
        <v>3000</v>
      </c>
      <c r="AU184" s="3">
        <v>200000</v>
      </c>
      <c r="AV184" s="3">
        <v>299711</v>
      </c>
      <c r="AY184" s="3">
        <v>66.731057986202799</v>
      </c>
      <c r="AZ184" s="3" t="s">
        <v>82</v>
      </c>
      <c r="BB184" s="3" t="s">
        <v>1026</v>
      </c>
      <c r="BC184" s="3" t="s">
        <v>1027</v>
      </c>
      <c r="BD184" s="8">
        <v>4</v>
      </c>
    </row>
    <row r="185" spans="1:56" ht="14.25" customHeight="1" thickBot="1">
      <c r="A185" s="3" t="s">
        <v>1028</v>
      </c>
      <c r="B185" s="3" t="s">
        <v>910</v>
      </c>
      <c r="C185" s="3" t="s">
        <v>1029</v>
      </c>
      <c r="E185" s="3" t="s">
        <v>71</v>
      </c>
      <c r="F185" s="3">
        <f t="shared" si="0"/>
        <v>2</v>
      </c>
      <c r="G185" s="3" t="s">
        <v>72</v>
      </c>
      <c r="H185" s="3">
        <f t="shared" si="1"/>
        <v>2</v>
      </c>
      <c r="I185" s="3" t="s">
        <v>73</v>
      </c>
      <c r="J185" s="3" t="s">
        <v>212</v>
      </c>
      <c r="L185" s="3" t="s">
        <v>1030</v>
      </c>
      <c r="M185" s="3" t="s">
        <v>97</v>
      </c>
      <c r="N185" s="3" t="s">
        <v>98</v>
      </c>
      <c r="O185" s="3" t="s">
        <v>78</v>
      </c>
      <c r="P185" s="3" t="s">
        <v>79</v>
      </c>
      <c r="Q185" s="3" t="s">
        <v>1031</v>
      </c>
      <c r="S185" s="18">
        <v>85.24</v>
      </c>
      <c r="T185" s="18">
        <v>23.47</v>
      </c>
      <c r="U185" s="18">
        <v>29.42</v>
      </c>
      <c r="V185" s="3" t="s">
        <v>95</v>
      </c>
      <c r="Z185" s="3" t="s">
        <v>264</v>
      </c>
      <c r="AB185" s="3">
        <v>280</v>
      </c>
      <c r="AC185" s="3" t="s">
        <v>81</v>
      </c>
      <c r="AD185" s="6">
        <v>30.87039</v>
      </c>
      <c r="AE185" s="6">
        <v>-92.007126</v>
      </c>
      <c r="AG185" s="3" t="s">
        <v>1032</v>
      </c>
      <c r="AH185" s="3">
        <v>2005</v>
      </c>
      <c r="AI185" s="3">
        <v>9</v>
      </c>
      <c r="AJ185" s="8">
        <v>23</v>
      </c>
      <c r="AK185" s="3">
        <v>2005</v>
      </c>
      <c r="AL185" s="3">
        <v>10</v>
      </c>
      <c r="AM185" s="3">
        <v>1</v>
      </c>
      <c r="AN185" s="29">
        <v>10</v>
      </c>
      <c r="AP185" s="3">
        <v>300000</v>
      </c>
      <c r="AR185" s="3">
        <v>300000</v>
      </c>
      <c r="AU185" s="3">
        <v>11300000</v>
      </c>
      <c r="AV185" s="3">
        <v>16933644</v>
      </c>
      <c r="AW185" s="3">
        <v>16000000</v>
      </c>
      <c r="AX185" s="3">
        <v>23976841</v>
      </c>
      <c r="AY185" s="3">
        <v>66.731057986202799</v>
      </c>
      <c r="AZ185" s="3" t="s">
        <v>89</v>
      </c>
      <c r="BA185" s="3" t="s">
        <v>1033</v>
      </c>
      <c r="BC185" s="3" t="s">
        <v>1034</v>
      </c>
      <c r="BD185" s="8">
        <v>6</v>
      </c>
    </row>
    <row r="186" spans="1:56" ht="14.25" customHeight="1" thickBot="1">
      <c r="A186" s="3" t="s">
        <v>1035</v>
      </c>
      <c r="B186" s="3" t="s">
        <v>910</v>
      </c>
      <c r="C186" s="3" t="s">
        <v>1036</v>
      </c>
      <c r="E186" s="3" t="s">
        <v>71</v>
      </c>
      <c r="F186" s="3">
        <f t="shared" si="0"/>
        <v>2</v>
      </c>
      <c r="G186" s="3" t="s">
        <v>72</v>
      </c>
      <c r="H186" s="3">
        <f t="shared" si="1"/>
        <v>2</v>
      </c>
      <c r="I186" s="3" t="s">
        <v>73</v>
      </c>
      <c r="J186" s="3" t="s">
        <v>74</v>
      </c>
      <c r="K186" s="3" t="s">
        <v>75</v>
      </c>
      <c r="M186" s="3" t="s">
        <v>97</v>
      </c>
      <c r="N186" s="3" t="s">
        <v>98</v>
      </c>
      <c r="O186" s="3" t="s">
        <v>78</v>
      </c>
      <c r="P186" s="3" t="s">
        <v>79</v>
      </c>
      <c r="Q186" s="3" t="s">
        <v>1037</v>
      </c>
      <c r="S186" s="18">
        <v>24.49</v>
      </c>
      <c r="T186" s="18">
        <v>16.79</v>
      </c>
      <c r="U186" s="18">
        <v>27.14</v>
      </c>
      <c r="AC186" s="3" t="s">
        <v>81</v>
      </c>
      <c r="AD186" s="6">
        <v>44.224580000000003</v>
      </c>
      <c r="AE186" s="6">
        <v>-88.402507</v>
      </c>
      <c r="AH186" s="3">
        <v>2005</v>
      </c>
      <c r="AI186" s="3">
        <v>8</v>
      </c>
      <c r="AJ186" s="8">
        <v>18</v>
      </c>
      <c r="AK186" s="3">
        <v>2005</v>
      </c>
      <c r="AL186" s="3">
        <v>8</v>
      </c>
      <c r="AM186" s="3">
        <v>18</v>
      </c>
      <c r="AN186" s="29">
        <v>0</v>
      </c>
      <c r="AP186" s="3">
        <v>120</v>
      </c>
      <c r="AQ186" s="3">
        <v>81</v>
      </c>
      <c r="AR186" s="3">
        <v>201</v>
      </c>
      <c r="AY186" s="3">
        <v>66.731057986202799</v>
      </c>
      <c r="AZ186" s="3" t="s">
        <v>89</v>
      </c>
      <c r="BA186" s="3" t="s">
        <v>1038</v>
      </c>
      <c r="BC186" s="3" t="s">
        <v>1039</v>
      </c>
      <c r="BD186" s="8">
        <v>3</v>
      </c>
    </row>
    <row r="187" spans="1:56" ht="14.25" customHeight="1" thickBot="1">
      <c r="A187" s="3" t="s">
        <v>1040</v>
      </c>
      <c r="B187" s="3" t="s">
        <v>910</v>
      </c>
      <c r="C187" s="3" t="s">
        <v>1041</v>
      </c>
      <c r="E187" s="3" t="s">
        <v>71</v>
      </c>
      <c r="F187" s="3">
        <f t="shared" si="0"/>
        <v>2</v>
      </c>
      <c r="G187" s="3" t="s">
        <v>72</v>
      </c>
      <c r="H187" s="3">
        <f t="shared" si="1"/>
        <v>2</v>
      </c>
      <c r="I187" s="3" t="s">
        <v>73</v>
      </c>
      <c r="J187" s="3" t="s">
        <v>74</v>
      </c>
      <c r="K187" s="3" t="s">
        <v>127</v>
      </c>
      <c r="M187" s="3" t="s">
        <v>97</v>
      </c>
      <c r="N187" s="3" t="s">
        <v>98</v>
      </c>
      <c r="O187" s="3" t="s">
        <v>78</v>
      </c>
      <c r="P187" s="3" t="s">
        <v>79</v>
      </c>
      <c r="Q187" s="3" t="s">
        <v>1042</v>
      </c>
      <c r="S187" s="18">
        <v>0</v>
      </c>
      <c r="T187" s="18">
        <v>-12.49</v>
      </c>
      <c r="U187" s="18">
        <v>-3.71</v>
      </c>
      <c r="AC187" s="3" t="s">
        <v>81</v>
      </c>
      <c r="AD187" s="6">
        <v>45.709099999999999</v>
      </c>
      <c r="AE187" s="6">
        <v>-68.859020000000001</v>
      </c>
      <c r="AH187" s="3">
        <v>2005</v>
      </c>
      <c r="AI187" s="3">
        <v>12</v>
      </c>
      <c r="AJ187" s="8">
        <v>8</v>
      </c>
      <c r="AK187" s="3">
        <v>2005</v>
      </c>
      <c r="AL187" s="3">
        <v>12</v>
      </c>
      <c r="AM187" s="3">
        <v>9</v>
      </c>
      <c r="AN187" s="29">
        <v>10</v>
      </c>
      <c r="AY187" s="3">
        <v>66.731057986202799</v>
      </c>
      <c r="AZ187" s="3" t="s">
        <v>89</v>
      </c>
      <c r="BA187" s="3" t="s">
        <v>1043</v>
      </c>
      <c r="BC187" s="3" t="s">
        <v>1044</v>
      </c>
      <c r="BD187" s="8">
        <v>0</v>
      </c>
    </row>
    <row r="188" spans="1:56" ht="14.25" customHeight="1" thickBot="1">
      <c r="A188" s="3" t="s">
        <v>1045</v>
      </c>
      <c r="B188" s="3" t="s">
        <v>910</v>
      </c>
      <c r="C188" s="3" t="s">
        <v>389</v>
      </c>
      <c r="E188" s="3" t="s">
        <v>71</v>
      </c>
      <c r="F188" s="3">
        <f t="shared" si="0"/>
        <v>2</v>
      </c>
      <c r="G188" s="3" t="s">
        <v>72</v>
      </c>
      <c r="H188" s="3">
        <f t="shared" si="1"/>
        <v>2</v>
      </c>
      <c r="I188" s="3" t="s">
        <v>73</v>
      </c>
      <c r="J188" s="3" t="s">
        <v>212</v>
      </c>
      <c r="L188" s="3" t="s">
        <v>1046</v>
      </c>
      <c r="M188" s="3" t="s">
        <v>97</v>
      </c>
      <c r="N188" s="3" t="s">
        <v>98</v>
      </c>
      <c r="O188" s="3" t="s">
        <v>78</v>
      </c>
      <c r="P188" s="3" t="s">
        <v>79</v>
      </c>
      <c r="Q188" s="3" t="s">
        <v>1047</v>
      </c>
      <c r="S188" s="18">
        <v>10.220000000000001</v>
      </c>
      <c r="T188" s="18">
        <v>22.59</v>
      </c>
      <c r="U188" s="18">
        <v>31</v>
      </c>
      <c r="Z188" s="3" t="s">
        <v>264</v>
      </c>
      <c r="AC188" s="3" t="s">
        <v>81</v>
      </c>
      <c r="AD188" s="6">
        <v>27.756769999999999</v>
      </c>
      <c r="AE188" s="6">
        <v>-81.463982999999999</v>
      </c>
      <c r="AH188" s="3">
        <v>2005</v>
      </c>
      <c r="AI188" s="3">
        <v>7</v>
      </c>
      <c r="AJ188" s="8">
        <v>10</v>
      </c>
      <c r="AK188" s="3">
        <v>2005</v>
      </c>
      <c r="AL188" s="3">
        <v>7</v>
      </c>
      <c r="AM188" s="3">
        <v>10</v>
      </c>
      <c r="AN188" s="29">
        <v>5</v>
      </c>
      <c r="AU188" s="3">
        <v>1115000</v>
      </c>
      <c r="AV188" s="3">
        <v>1670886</v>
      </c>
      <c r="AW188" s="3">
        <v>2230000</v>
      </c>
      <c r="AX188" s="3">
        <v>3341772</v>
      </c>
      <c r="AY188" s="3">
        <v>66.731057986202799</v>
      </c>
      <c r="AZ188" s="3" t="s">
        <v>89</v>
      </c>
      <c r="BA188" s="3" t="s">
        <v>1002</v>
      </c>
      <c r="BC188" s="3" t="s">
        <v>1048</v>
      </c>
      <c r="BD188" s="8">
        <v>0</v>
      </c>
    </row>
    <row r="189" spans="1:56" ht="14.25" customHeight="1" thickBot="1">
      <c r="A189" s="3" t="s">
        <v>1049</v>
      </c>
      <c r="B189" s="3" t="s">
        <v>910</v>
      </c>
      <c r="C189" s="3" t="s">
        <v>323</v>
      </c>
      <c r="E189" s="3" t="s">
        <v>71</v>
      </c>
      <c r="F189" s="3">
        <f t="shared" si="0"/>
        <v>2</v>
      </c>
      <c r="G189" s="3" t="s">
        <v>72</v>
      </c>
      <c r="H189" s="3">
        <f t="shared" si="1"/>
        <v>4</v>
      </c>
      <c r="I189" s="3" t="s">
        <v>219</v>
      </c>
      <c r="J189" s="3" t="s">
        <v>220</v>
      </c>
      <c r="M189" s="3" t="s">
        <v>97</v>
      </c>
      <c r="N189" s="3" t="s">
        <v>98</v>
      </c>
      <c r="O189" s="3" t="s">
        <v>78</v>
      </c>
      <c r="P189" s="3" t="s">
        <v>79</v>
      </c>
      <c r="Q189" s="3" t="s">
        <v>1050</v>
      </c>
      <c r="S189" s="18">
        <v>0</v>
      </c>
      <c r="T189" s="18">
        <v>14.56</v>
      </c>
      <c r="U189" s="18">
        <v>40.159999999999997</v>
      </c>
      <c r="AB189" s="3">
        <v>47</v>
      </c>
      <c r="AC189" s="3" t="s">
        <v>222</v>
      </c>
      <c r="AD189" s="6">
        <v>34.395339999999997</v>
      </c>
      <c r="AE189" s="6">
        <v>-111.76327499999999</v>
      </c>
      <c r="AH189" s="3">
        <v>2005</v>
      </c>
      <c r="AI189" s="3">
        <v>7</v>
      </c>
      <c r="AJ189" s="8">
        <v>4</v>
      </c>
      <c r="AK189" s="3">
        <v>2005</v>
      </c>
      <c r="AL189" s="3">
        <v>7</v>
      </c>
      <c r="AM189" s="3">
        <v>30</v>
      </c>
      <c r="AN189" s="29">
        <v>33</v>
      </c>
      <c r="AO189" s="3">
        <v>31</v>
      </c>
      <c r="AR189" s="3">
        <v>31</v>
      </c>
      <c r="AY189" s="3">
        <v>66.731057986202799</v>
      </c>
      <c r="AZ189" s="3" t="s">
        <v>89</v>
      </c>
      <c r="BA189" s="3" t="s">
        <v>1051</v>
      </c>
      <c r="BC189" s="3" t="s">
        <v>1052</v>
      </c>
      <c r="BD189" s="8">
        <v>2</v>
      </c>
    </row>
    <row r="190" spans="1:56" ht="14.25" customHeight="1" thickBot="1">
      <c r="A190" s="3" t="s">
        <v>1053</v>
      </c>
      <c r="B190" s="3" t="s">
        <v>910</v>
      </c>
      <c r="C190" s="3" t="s">
        <v>443</v>
      </c>
      <c r="E190" s="3" t="s">
        <v>71</v>
      </c>
      <c r="F190" s="3">
        <f t="shared" si="0"/>
        <v>3</v>
      </c>
      <c r="G190" s="3" t="s">
        <v>119</v>
      </c>
      <c r="H190" s="3">
        <f t="shared" si="1"/>
        <v>3</v>
      </c>
      <c r="I190" s="3" t="s">
        <v>122</v>
      </c>
      <c r="J190" s="3" t="s">
        <v>227</v>
      </c>
      <c r="M190" s="3" t="s">
        <v>97</v>
      </c>
      <c r="N190" s="3" t="s">
        <v>98</v>
      </c>
      <c r="O190" s="3" t="s">
        <v>78</v>
      </c>
      <c r="P190" s="3" t="s">
        <v>79</v>
      </c>
      <c r="Q190" s="3" t="s">
        <v>1054</v>
      </c>
      <c r="S190" s="18">
        <v>0</v>
      </c>
      <c r="T190" s="18">
        <v>5.3</v>
      </c>
      <c r="U190" s="18">
        <v>27.03</v>
      </c>
      <c r="Z190" s="3" t="s">
        <v>264</v>
      </c>
      <c r="AC190" s="3" t="s">
        <v>102</v>
      </c>
      <c r="AD190" s="6">
        <v>31.26389</v>
      </c>
      <c r="AE190" s="6">
        <v>-98.545612000000006</v>
      </c>
      <c r="AH190" s="3">
        <v>2005</v>
      </c>
      <c r="AI190" s="3">
        <v>12</v>
      </c>
      <c r="AJ190" s="8">
        <v>27</v>
      </c>
      <c r="AK190" s="3">
        <v>2006</v>
      </c>
      <c r="AL190" s="3">
        <v>1</v>
      </c>
      <c r="AM190" s="3">
        <v>4</v>
      </c>
      <c r="AN190" s="29">
        <v>5</v>
      </c>
      <c r="AQ190" s="3">
        <v>1410</v>
      </c>
      <c r="AR190" s="3">
        <v>1410</v>
      </c>
      <c r="AW190" s="3">
        <v>100000</v>
      </c>
      <c r="AX190" s="3">
        <v>149855</v>
      </c>
      <c r="AY190" s="3">
        <v>66.731057986202799</v>
      </c>
      <c r="AZ190" s="3" t="s">
        <v>89</v>
      </c>
      <c r="BA190" s="3" t="s">
        <v>1055</v>
      </c>
      <c r="BC190" s="3" t="s">
        <v>1056</v>
      </c>
      <c r="BD190" s="8">
        <v>4</v>
      </c>
    </row>
    <row r="191" spans="1:56" ht="14.25" customHeight="1" thickBot="1">
      <c r="A191" s="3" t="s">
        <v>1057</v>
      </c>
      <c r="B191" s="3" t="s">
        <v>959</v>
      </c>
      <c r="C191" s="3" t="s">
        <v>1058</v>
      </c>
      <c r="E191" s="3" t="s">
        <v>71</v>
      </c>
      <c r="F191" s="3">
        <f t="shared" si="0"/>
        <v>1</v>
      </c>
      <c r="G191" s="3" t="s">
        <v>94</v>
      </c>
      <c r="H191" s="3">
        <f t="shared" si="1"/>
        <v>1</v>
      </c>
      <c r="I191" s="3" t="s">
        <v>95</v>
      </c>
      <c r="J191" s="3" t="s">
        <v>96</v>
      </c>
      <c r="M191" s="3" t="s">
        <v>97</v>
      </c>
      <c r="N191" s="3" t="s">
        <v>98</v>
      </c>
      <c r="O191" s="3" t="s">
        <v>78</v>
      </c>
      <c r="P191" s="3" t="s">
        <v>79</v>
      </c>
      <c r="Q191" s="3" t="s">
        <v>1059</v>
      </c>
      <c r="R191" s="3" t="s">
        <v>200</v>
      </c>
      <c r="S191" s="18">
        <v>0</v>
      </c>
      <c r="T191" s="18">
        <v>3.43</v>
      </c>
      <c r="U191" s="18">
        <v>23.46</v>
      </c>
      <c r="V191" s="3" t="s">
        <v>962</v>
      </c>
      <c r="W191" s="3" t="s">
        <v>101</v>
      </c>
      <c r="Z191" s="3" t="s">
        <v>264</v>
      </c>
      <c r="AB191" s="3">
        <v>44110</v>
      </c>
      <c r="AC191" s="3" t="s">
        <v>102</v>
      </c>
      <c r="AD191" s="8">
        <v>37.69</v>
      </c>
      <c r="AE191" s="8">
        <v>-99.99</v>
      </c>
      <c r="AG191" s="3" t="s">
        <v>1060</v>
      </c>
      <c r="AH191" s="3">
        <v>2006</v>
      </c>
      <c r="AI191" s="3">
        <v>4</v>
      </c>
      <c r="AJ191" s="8">
        <v>4</v>
      </c>
      <c r="AK191" s="3">
        <v>2006</v>
      </c>
      <c r="AL191" s="3">
        <v>4</v>
      </c>
      <c r="AM191" s="3">
        <v>17</v>
      </c>
      <c r="AN191" s="29">
        <v>1</v>
      </c>
      <c r="AP191" s="3">
        <v>600</v>
      </c>
      <c r="AR191" s="3">
        <v>600</v>
      </c>
      <c r="AW191" s="3">
        <v>259000</v>
      </c>
      <c r="AX191" s="3">
        <v>375996</v>
      </c>
      <c r="AY191" s="3">
        <v>68.883758712346406</v>
      </c>
      <c r="AZ191" s="3" t="s">
        <v>82</v>
      </c>
      <c r="BB191" s="3" t="s">
        <v>1061</v>
      </c>
      <c r="BC191" s="3" t="s">
        <v>1062</v>
      </c>
      <c r="BD191" s="8">
        <v>3</v>
      </c>
    </row>
    <row r="192" spans="1:56" ht="14.25" customHeight="1" thickBot="1">
      <c r="A192" s="3" t="s">
        <v>1063</v>
      </c>
      <c r="B192" s="3" t="s">
        <v>959</v>
      </c>
      <c r="C192" s="3" t="s">
        <v>1064</v>
      </c>
      <c r="E192" s="3" t="s">
        <v>71</v>
      </c>
      <c r="F192" s="3">
        <f t="shared" si="0"/>
        <v>1</v>
      </c>
      <c r="G192" s="3" t="s">
        <v>94</v>
      </c>
      <c r="H192" s="3">
        <f t="shared" si="1"/>
        <v>1</v>
      </c>
      <c r="I192" s="3" t="s">
        <v>95</v>
      </c>
      <c r="J192" s="3" t="s">
        <v>96</v>
      </c>
      <c r="M192" s="3" t="s">
        <v>97</v>
      </c>
      <c r="N192" s="3" t="s">
        <v>98</v>
      </c>
      <c r="O192" s="3" t="s">
        <v>78</v>
      </c>
      <c r="P192" s="3" t="s">
        <v>79</v>
      </c>
      <c r="Q192" s="3" t="s">
        <v>1065</v>
      </c>
      <c r="R192" s="3" t="s">
        <v>1066</v>
      </c>
      <c r="S192" s="18">
        <v>33.76</v>
      </c>
      <c r="T192" s="18">
        <v>20.09</v>
      </c>
      <c r="U192" s="18">
        <v>23.56</v>
      </c>
      <c r="V192" s="3" t="s">
        <v>101</v>
      </c>
      <c r="AB192" s="3">
        <v>122600</v>
      </c>
      <c r="AC192" s="3" t="s">
        <v>102</v>
      </c>
      <c r="AD192" s="8">
        <v>40.409999999999997</v>
      </c>
      <c r="AE192" s="8">
        <v>-75.78</v>
      </c>
      <c r="AH192" s="3">
        <v>2006</v>
      </c>
      <c r="AI192" s="3">
        <v>6</v>
      </c>
      <c r="AJ192" s="8">
        <v>25</v>
      </c>
      <c r="AK192" s="3">
        <v>2006</v>
      </c>
      <c r="AL192" s="3">
        <v>7</v>
      </c>
      <c r="AM192" s="3">
        <v>1</v>
      </c>
      <c r="AN192" s="29">
        <v>11</v>
      </c>
      <c r="AP192" s="3">
        <v>65000</v>
      </c>
      <c r="AR192" s="3">
        <v>65000</v>
      </c>
      <c r="AU192" s="3">
        <v>401000</v>
      </c>
      <c r="AV192" s="3">
        <v>582140</v>
      </c>
      <c r="AW192" s="3">
        <v>1000000</v>
      </c>
      <c r="AX192" s="3">
        <v>1451721</v>
      </c>
      <c r="AY192" s="3">
        <v>68.883758712346406</v>
      </c>
      <c r="AZ192" s="3" t="s">
        <v>89</v>
      </c>
      <c r="BA192" s="3" t="s">
        <v>1067</v>
      </c>
      <c r="BC192" s="3" t="s">
        <v>1068</v>
      </c>
      <c r="BD192" s="8">
        <v>5</v>
      </c>
    </row>
    <row r="193" spans="1:56" ht="14.25" customHeight="1" thickBot="1">
      <c r="A193" s="3" t="s">
        <v>1069</v>
      </c>
      <c r="B193" s="3" t="s">
        <v>959</v>
      </c>
      <c r="C193" s="3" t="s">
        <v>1070</v>
      </c>
      <c r="E193" s="3" t="s">
        <v>71</v>
      </c>
      <c r="F193" s="3">
        <f t="shared" si="0"/>
        <v>2</v>
      </c>
      <c r="G193" s="3" t="s">
        <v>72</v>
      </c>
      <c r="H193" s="3">
        <f t="shared" si="1"/>
        <v>2</v>
      </c>
      <c r="I193" s="3" t="s">
        <v>73</v>
      </c>
      <c r="J193" s="3" t="s">
        <v>74</v>
      </c>
      <c r="K193" s="3" t="s">
        <v>355</v>
      </c>
      <c r="M193" s="3" t="s">
        <v>97</v>
      </c>
      <c r="N193" s="3" t="s">
        <v>98</v>
      </c>
      <c r="O193" s="3" t="s">
        <v>78</v>
      </c>
      <c r="P193" s="3" t="s">
        <v>79</v>
      </c>
      <c r="Q193" s="3" t="s">
        <v>1071</v>
      </c>
      <c r="S193" s="18">
        <v>24.7</v>
      </c>
      <c r="T193" s="18">
        <v>10.06</v>
      </c>
      <c r="U193" s="18">
        <v>27.31</v>
      </c>
      <c r="V193" s="3" t="s">
        <v>355</v>
      </c>
      <c r="AC193" s="3" t="s">
        <v>81</v>
      </c>
      <c r="AD193" s="6">
        <v>35.773009999999999</v>
      </c>
      <c r="AE193" s="6">
        <v>-86.282008000000005</v>
      </c>
      <c r="AH193" s="3">
        <v>2006</v>
      </c>
      <c r="AI193" s="3">
        <v>4</v>
      </c>
      <c r="AJ193" s="8">
        <v>2</v>
      </c>
      <c r="AK193" s="3">
        <v>2006</v>
      </c>
      <c r="AL193" s="3">
        <v>4</v>
      </c>
      <c r="AM193" s="3">
        <v>3</v>
      </c>
      <c r="AN193" s="29">
        <v>28</v>
      </c>
      <c r="AO193" s="3">
        <v>36</v>
      </c>
      <c r="AP193" s="3">
        <v>3600</v>
      </c>
      <c r="AR193" s="3">
        <v>3636</v>
      </c>
      <c r="AU193" s="3">
        <v>450000</v>
      </c>
      <c r="AV193" s="3">
        <v>653274</v>
      </c>
      <c r="AW193" s="3">
        <v>600000</v>
      </c>
      <c r="AX193" s="3">
        <v>871033</v>
      </c>
      <c r="AY193" s="3">
        <v>68.883758712346406</v>
      </c>
      <c r="AZ193" s="3" t="s">
        <v>89</v>
      </c>
      <c r="BA193" s="3" t="s">
        <v>1072</v>
      </c>
      <c r="BC193" s="3" t="s">
        <v>1073</v>
      </c>
      <c r="BD193" s="8">
        <v>4</v>
      </c>
    </row>
    <row r="194" spans="1:56" ht="14.25" customHeight="1" thickBot="1">
      <c r="A194" s="3" t="s">
        <v>1074</v>
      </c>
      <c r="B194" s="3" t="s">
        <v>959</v>
      </c>
      <c r="C194" s="3" t="s">
        <v>1075</v>
      </c>
      <c r="E194" s="3" t="s">
        <v>71</v>
      </c>
      <c r="F194" s="3">
        <f t="shared" si="0"/>
        <v>2</v>
      </c>
      <c r="G194" s="3" t="s">
        <v>72</v>
      </c>
      <c r="H194" s="3">
        <f t="shared" si="1"/>
        <v>2</v>
      </c>
      <c r="I194" s="3" t="s">
        <v>73</v>
      </c>
      <c r="J194" s="3" t="s">
        <v>74</v>
      </c>
      <c r="K194" s="3" t="s">
        <v>355</v>
      </c>
      <c r="M194" s="3" t="s">
        <v>97</v>
      </c>
      <c r="N194" s="3" t="s">
        <v>98</v>
      </c>
      <c r="O194" s="3" t="s">
        <v>78</v>
      </c>
      <c r="P194" s="3" t="s">
        <v>79</v>
      </c>
      <c r="Q194" s="3" t="s">
        <v>1076</v>
      </c>
      <c r="S194" s="18">
        <v>0</v>
      </c>
      <c r="T194" s="18">
        <v>2.37</v>
      </c>
      <c r="U194" s="18">
        <v>24.6</v>
      </c>
      <c r="V194" s="3" t="s">
        <v>355</v>
      </c>
      <c r="AC194" s="3" t="s">
        <v>81</v>
      </c>
      <c r="AD194" s="6">
        <v>35.773009999999999</v>
      </c>
      <c r="AE194" s="6">
        <v>-86.282008000000005</v>
      </c>
      <c r="AH194" s="3">
        <v>2006</v>
      </c>
      <c r="AI194" s="3">
        <v>4</v>
      </c>
      <c r="AJ194" s="8">
        <v>6</v>
      </c>
      <c r="AK194" s="3">
        <v>2006</v>
      </c>
      <c r="AL194" s="3">
        <v>4</v>
      </c>
      <c r="AM194" s="3">
        <v>8</v>
      </c>
      <c r="AN194" s="29">
        <v>12</v>
      </c>
      <c r="AO194" s="3">
        <v>160</v>
      </c>
      <c r="AP194" s="3">
        <v>465</v>
      </c>
      <c r="AR194" s="3">
        <v>625</v>
      </c>
      <c r="AU194" s="3">
        <v>1280000</v>
      </c>
      <c r="AV194" s="3">
        <v>1858203</v>
      </c>
      <c r="AW194" s="3">
        <v>1600000</v>
      </c>
      <c r="AX194" s="3">
        <v>2322754</v>
      </c>
      <c r="AY194" s="3">
        <v>68.883758712346406</v>
      </c>
      <c r="AZ194" s="3" t="s">
        <v>206</v>
      </c>
      <c r="BA194" s="3" t="s">
        <v>1077</v>
      </c>
      <c r="BB194" s="3" t="s">
        <v>1078</v>
      </c>
      <c r="BC194" s="3" t="s">
        <v>1079</v>
      </c>
      <c r="BD194" s="8">
        <v>3</v>
      </c>
    </row>
    <row r="195" spans="1:56" ht="14.25" customHeight="1" thickBot="1">
      <c r="A195" s="3" t="s">
        <v>1080</v>
      </c>
      <c r="B195" s="3" t="s">
        <v>959</v>
      </c>
      <c r="C195" s="3" t="s">
        <v>1081</v>
      </c>
      <c r="E195" s="3" t="s">
        <v>71</v>
      </c>
      <c r="F195" s="3">
        <f t="shared" si="0"/>
        <v>2</v>
      </c>
      <c r="G195" s="3" t="s">
        <v>72</v>
      </c>
      <c r="H195" s="3">
        <f t="shared" si="1"/>
        <v>2</v>
      </c>
      <c r="I195" s="3" t="s">
        <v>73</v>
      </c>
      <c r="J195" s="3" t="s">
        <v>74</v>
      </c>
      <c r="K195" s="3" t="s">
        <v>807</v>
      </c>
      <c r="M195" s="3" t="s">
        <v>97</v>
      </c>
      <c r="N195" s="3" t="s">
        <v>98</v>
      </c>
      <c r="O195" s="3" t="s">
        <v>78</v>
      </c>
      <c r="P195" s="3" t="s">
        <v>79</v>
      </c>
      <c r="Q195" s="3" t="s">
        <v>1082</v>
      </c>
      <c r="S195" s="18">
        <v>0</v>
      </c>
      <c r="T195" s="18">
        <v>17.28</v>
      </c>
      <c r="U195" s="18">
        <v>31.47</v>
      </c>
      <c r="V195" s="3" t="s">
        <v>355</v>
      </c>
      <c r="AC195" s="3" t="s">
        <v>81</v>
      </c>
      <c r="AD195" s="6">
        <v>32.751370000000001</v>
      </c>
      <c r="AE195" s="6">
        <v>-97.335695999999999</v>
      </c>
      <c r="AH195" s="3">
        <v>2006</v>
      </c>
      <c r="AI195" s="3">
        <v>5</v>
      </c>
      <c r="AJ195" s="8">
        <v>1</v>
      </c>
      <c r="AK195" s="3">
        <v>2006</v>
      </c>
      <c r="AL195" s="3">
        <v>5</v>
      </c>
      <c r="AM195" s="3">
        <v>7</v>
      </c>
      <c r="AN195" s="29">
        <v>1</v>
      </c>
      <c r="AP195" s="3">
        <v>600</v>
      </c>
      <c r="AR195" s="3">
        <v>600</v>
      </c>
      <c r="AU195" s="3">
        <v>400000</v>
      </c>
      <c r="AV195" s="3">
        <v>580688</v>
      </c>
      <c r="AW195" s="3">
        <v>450000</v>
      </c>
      <c r="AX195" s="3">
        <v>653274</v>
      </c>
      <c r="AY195" s="3">
        <v>68.883758712346406</v>
      </c>
      <c r="AZ195" s="3" t="s">
        <v>82</v>
      </c>
      <c r="BB195" s="3" t="s">
        <v>1083</v>
      </c>
      <c r="BC195" s="3" t="s">
        <v>1084</v>
      </c>
      <c r="BD195" s="8">
        <v>3</v>
      </c>
    </row>
    <row r="196" spans="1:56" ht="14.25" customHeight="1" thickBot="1">
      <c r="A196" s="3" t="s">
        <v>1085</v>
      </c>
      <c r="B196" s="3" t="s">
        <v>959</v>
      </c>
      <c r="C196" s="3" t="s">
        <v>1086</v>
      </c>
      <c r="E196" s="3" t="s">
        <v>71</v>
      </c>
      <c r="F196" s="3">
        <f t="shared" si="0"/>
        <v>1</v>
      </c>
      <c r="G196" s="3" t="s">
        <v>94</v>
      </c>
      <c r="H196" s="3">
        <f t="shared" si="1"/>
        <v>1</v>
      </c>
      <c r="I196" s="3" t="s">
        <v>95</v>
      </c>
      <c r="J196" s="3" t="s">
        <v>96</v>
      </c>
      <c r="M196" s="3" t="s">
        <v>97</v>
      </c>
      <c r="N196" s="3" t="s">
        <v>98</v>
      </c>
      <c r="O196" s="3" t="s">
        <v>78</v>
      </c>
      <c r="P196" s="3" t="s">
        <v>79</v>
      </c>
      <c r="Q196" s="3" t="s">
        <v>1087</v>
      </c>
      <c r="R196" s="3" t="s">
        <v>200</v>
      </c>
      <c r="S196" s="18">
        <v>2.89</v>
      </c>
      <c r="T196" s="18">
        <v>8.07</v>
      </c>
      <c r="U196" s="18">
        <v>11.22</v>
      </c>
      <c r="V196" s="3" t="s">
        <v>683</v>
      </c>
      <c r="Z196" s="3" t="s">
        <v>264</v>
      </c>
      <c r="AB196" s="3">
        <v>42910</v>
      </c>
      <c r="AC196" s="3" t="s">
        <v>102</v>
      </c>
      <c r="AD196" s="8">
        <v>43.16</v>
      </c>
      <c r="AE196" s="8">
        <v>-70.790000000000006</v>
      </c>
      <c r="AG196" s="3" t="s">
        <v>1088</v>
      </c>
      <c r="AH196" s="3">
        <v>2006</v>
      </c>
      <c r="AI196" s="3">
        <v>5</v>
      </c>
      <c r="AJ196" s="8">
        <v>11</v>
      </c>
      <c r="AK196" s="3">
        <v>2006</v>
      </c>
      <c r="AL196" s="3">
        <v>5</v>
      </c>
      <c r="AM196" s="3">
        <v>22</v>
      </c>
      <c r="AN196" s="29">
        <v>2</v>
      </c>
      <c r="AP196" s="3">
        <v>2500</v>
      </c>
      <c r="AR196" s="3">
        <v>2500</v>
      </c>
      <c r="AU196" s="3">
        <v>62500</v>
      </c>
      <c r="AV196" s="3">
        <v>90733</v>
      </c>
      <c r="AW196" s="3">
        <v>85000</v>
      </c>
      <c r="AX196" s="3">
        <v>123396</v>
      </c>
      <c r="AY196" s="3">
        <v>68.883758712346406</v>
      </c>
      <c r="AZ196" s="3" t="s">
        <v>89</v>
      </c>
      <c r="BA196" s="3" t="s">
        <v>1089</v>
      </c>
      <c r="BC196" s="3" t="s">
        <v>1090</v>
      </c>
      <c r="BD196" s="8">
        <v>4</v>
      </c>
    </row>
    <row r="197" spans="1:56" ht="14.25" customHeight="1" thickBot="1">
      <c r="A197" s="3" t="s">
        <v>1091</v>
      </c>
      <c r="B197" s="3" t="s">
        <v>959</v>
      </c>
      <c r="C197" s="3" t="s">
        <v>1092</v>
      </c>
      <c r="E197" s="3" t="s">
        <v>71</v>
      </c>
      <c r="F197" s="3">
        <f t="shared" si="0"/>
        <v>1</v>
      </c>
      <c r="G197" s="3" t="s">
        <v>94</v>
      </c>
      <c r="H197" s="3">
        <f t="shared" si="1"/>
        <v>1</v>
      </c>
      <c r="I197" s="3" t="s">
        <v>95</v>
      </c>
      <c r="J197" s="3" t="s">
        <v>96</v>
      </c>
      <c r="M197" s="3" t="s">
        <v>97</v>
      </c>
      <c r="N197" s="3" t="s">
        <v>98</v>
      </c>
      <c r="O197" s="3" t="s">
        <v>78</v>
      </c>
      <c r="P197" s="3" t="s">
        <v>79</v>
      </c>
      <c r="Q197" s="3" t="s">
        <v>1093</v>
      </c>
      <c r="R197" s="3" t="s">
        <v>100</v>
      </c>
      <c r="S197" s="18">
        <v>78.209999999999994</v>
      </c>
      <c r="T197" s="18">
        <v>12.41</v>
      </c>
      <c r="U197" s="18">
        <v>24.12</v>
      </c>
      <c r="V197" s="3" t="s">
        <v>683</v>
      </c>
      <c r="Z197" s="3" t="s">
        <v>264</v>
      </c>
      <c r="AB197" s="3">
        <v>146000</v>
      </c>
      <c r="AC197" s="3" t="s">
        <v>102</v>
      </c>
      <c r="AD197" s="8">
        <v>37.21</v>
      </c>
      <c r="AE197" s="8">
        <v>-87.62</v>
      </c>
      <c r="AG197" s="3" t="s">
        <v>1094</v>
      </c>
      <c r="AH197" s="3">
        <v>2006</v>
      </c>
      <c r="AI197" s="3">
        <v>9</v>
      </c>
      <c r="AJ197" s="8">
        <v>22</v>
      </c>
      <c r="AK197" s="3">
        <v>2006</v>
      </c>
      <c r="AL197" s="3">
        <v>9</v>
      </c>
      <c r="AM197" s="3">
        <v>26</v>
      </c>
      <c r="AN197" s="29">
        <v>14</v>
      </c>
      <c r="AO197" s="3">
        <v>10</v>
      </c>
      <c r="AP197" s="3">
        <v>1200</v>
      </c>
      <c r="AR197" s="3">
        <v>1210</v>
      </c>
      <c r="AY197" s="3">
        <v>68.883758712346406</v>
      </c>
      <c r="AZ197" s="3" t="s">
        <v>206</v>
      </c>
      <c r="BA197" s="3" t="s">
        <v>1095</v>
      </c>
      <c r="BB197" s="3" t="s">
        <v>1096</v>
      </c>
      <c r="BC197" s="3" t="s">
        <v>1097</v>
      </c>
      <c r="BD197" s="8">
        <v>4</v>
      </c>
    </row>
    <row r="198" spans="1:56" ht="14.25" customHeight="1" thickBot="1">
      <c r="A198" s="3" t="s">
        <v>1098</v>
      </c>
      <c r="B198" s="3" t="s">
        <v>959</v>
      </c>
      <c r="C198" s="3" t="s">
        <v>1099</v>
      </c>
      <c r="E198" s="3" t="s">
        <v>71</v>
      </c>
      <c r="F198" s="3">
        <f t="shared" si="0"/>
        <v>2</v>
      </c>
      <c r="G198" s="3" t="s">
        <v>72</v>
      </c>
      <c r="H198" s="3">
        <f t="shared" si="1"/>
        <v>2</v>
      </c>
      <c r="I198" s="3" t="s">
        <v>73</v>
      </c>
      <c r="M198" s="3" t="s">
        <v>97</v>
      </c>
      <c r="N198" s="3" t="s">
        <v>98</v>
      </c>
      <c r="O198" s="3" t="s">
        <v>78</v>
      </c>
      <c r="P198" s="3" t="s">
        <v>79</v>
      </c>
      <c r="Q198" s="3" t="s">
        <v>1100</v>
      </c>
      <c r="S198" s="18">
        <v>50.49</v>
      </c>
      <c r="T198" s="18">
        <v>-1.35</v>
      </c>
      <c r="U198" s="18">
        <v>3.73</v>
      </c>
      <c r="V198" s="3" t="s">
        <v>683</v>
      </c>
      <c r="AC198" s="3" t="s">
        <v>81</v>
      </c>
      <c r="AD198" s="6">
        <v>40.079659999999997</v>
      </c>
      <c r="AE198" s="6">
        <v>-89.433729</v>
      </c>
      <c r="AH198" s="3">
        <v>2006</v>
      </c>
      <c r="AI198" s="3">
        <v>11</v>
      </c>
      <c r="AJ198" s="8">
        <v>30</v>
      </c>
      <c r="AK198" s="3">
        <v>2006</v>
      </c>
      <c r="AL198" s="3">
        <v>12</v>
      </c>
      <c r="AM198" s="3">
        <v>3</v>
      </c>
      <c r="AN198" s="29">
        <v>11</v>
      </c>
      <c r="AU198" s="3">
        <v>450000</v>
      </c>
      <c r="AV198" s="3">
        <v>653274</v>
      </c>
      <c r="AY198" s="3">
        <v>68.883758712346406</v>
      </c>
      <c r="AZ198" s="3" t="s">
        <v>89</v>
      </c>
      <c r="BA198" s="3" t="s">
        <v>1101</v>
      </c>
      <c r="BC198" s="3" t="s">
        <v>1102</v>
      </c>
      <c r="BD198" s="8">
        <v>0</v>
      </c>
    </row>
    <row r="199" spans="1:56" ht="14.25" customHeight="1" thickBot="1">
      <c r="A199" s="3" t="s">
        <v>1103</v>
      </c>
      <c r="B199" s="3" t="s">
        <v>959</v>
      </c>
      <c r="C199" s="3" t="s">
        <v>226</v>
      </c>
      <c r="E199" s="3" t="s">
        <v>71</v>
      </c>
      <c r="F199" s="3">
        <f t="shared" si="0"/>
        <v>2</v>
      </c>
      <c r="G199" s="3" t="s">
        <v>72</v>
      </c>
      <c r="H199" s="3">
        <f t="shared" si="1"/>
        <v>2</v>
      </c>
      <c r="I199" s="3" t="s">
        <v>73</v>
      </c>
      <c r="J199" s="3" t="s">
        <v>74</v>
      </c>
      <c r="K199" s="3" t="s">
        <v>75</v>
      </c>
      <c r="M199" s="3" t="s">
        <v>97</v>
      </c>
      <c r="N199" s="3" t="s">
        <v>98</v>
      </c>
      <c r="O199" s="3" t="s">
        <v>78</v>
      </c>
      <c r="P199" s="3" t="s">
        <v>79</v>
      </c>
      <c r="Q199" s="3" t="s">
        <v>1104</v>
      </c>
      <c r="S199" s="18">
        <v>9.7899999999999991</v>
      </c>
      <c r="T199" s="18">
        <v>6.8</v>
      </c>
      <c r="U199" s="18">
        <v>25.66</v>
      </c>
      <c r="V199" s="3" t="s">
        <v>95</v>
      </c>
      <c r="AB199" s="3">
        <v>202</v>
      </c>
      <c r="AC199" s="3" t="s">
        <v>81</v>
      </c>
      <c r="AD199" s="6">
        <v>38.760480000000001</v>
      </c>
      <c r="AE199" s="6">
        <v>-92.561786999999995</v>
      </c>
      <c r="AH199" s="3">
        <v>2006</v>
      </c>
      <c r="AI199" s="3">
        <v>3</v>
      </c>
      <c r="AJ199" s="8">
        <v>11</v>
      </c>
      <c r="AK199" s="3">
        <v>2006</v>
      </c>
      <c r="AL199" s="3">
        <v>3</v>
      </c>
      <c r="AM199" s="3">
        <v>13</v>
      </c>
      <c r="AN199" s="29">
        <v>10</v>
      </c>
      <c r="AO199" s="3">
        <v>42</v>
      </c>
      <c r="AR199" s="3">
        <v>42</v>
      </c>
      <c r="AU199" s="3">
        <v>800000</v>
      </c>
      <c r="AV199" s="3">
        <v>1161377</v>
      </c>
      <c r="AW199" s="3">
        <v>1200000</v>
      </c>
      <c r="AX199" s="3">
        <v>1742065</v>
      </c>
      <c r="AY199" s="3">
        <v>68.883758712346406</v>
      </c>
      <c r="AZ199" s="3" t="s">
        <v>89</v>
      </c>
      <c r="BA199" s="3" t="s">
        <v>1105</v>
      </c>
      <c r="BC199" s="3" t="s">
        <v>1106</v>
      </c>
      <c r="BD199" s="8">
        <v>2</v>
      </c>
    </row>
    <row r="200" spans="1:56" ht="14.25" customHeight="1" thickBot="1">
      <c r="A200" s="3" t="s">
        <v>1107</v>
      </c>
      <c r="B200" s="3" t="s">
        <v>959</v>
      </c>
      <c r="C200" s="3" t="s">
        <v>701</v>
      </c>
      <c r="E200" s="3" t="s">
        <v>71</v>
      </c>
      <c r="F200" s="3">
        <f t="shared" si="0"/>
        <v>2</v>
      </c>
      <c r="G200" s="3" t="s">
        <v>72</v>
      </c>
      <c r="H200" s="3">
        <f t="shared" si="1"/>
        <v>2</v>
      </c>
      <c r="I200" s="3" t="s">
        <v>73</v>
      </c>
      <c r="J200" s="3" t="s">
        <v>74</v>
      </c>
      <c r="K200" s="3" t="s">
        <v>75</v>
      </c>
      <c r="M200" s="3" t="s">
        <v>97</v>
      </c>
      <c r="N200" s="3" t="s">
        <v>98</v>
      </c>
      <c r="O200" s="3" t="s">
        <v>78</v>
      </c>
      <c r="P200" s="3" t="s">
        <v>79</v>
      </c>
      <c r="Q200" s="3" t="s">
        <v>1108</v>
      </c>
      <c r="S200" s="18">
        <v>20.2</v>
      </c>
      <c r="T200" s="18">
        <v>7.35</v>
      </c>
      <c r="U200" s="18">
        <v>20.95</v>
      </c>
      <c r="V200" s="3" t="s">
        <v>95</v>
      </c>
      <c r="AC200" s="3" t="s">
        <v>81</v>
      </c>
      <c r="AD200" s="6">
        <v>35.672960000000003</v>
      </c>
      <c r="AE200" s="6">
        <v>-79.039292000000003</v>
      </c>
      <c r="AH200" s="3">
        <v>2006</v>
      </c>
      <c r="AI200" s="3">
        <v>11</v>
      </c>
      <c r="AJ200" s="8">
        <v>15</v>
      </c>
      <c r="AK200" s="3">
        <v>2006</v>
      </c>
      <c r="AL200" s="3">
        <v>11</v>
      </c>
      <c r="AM200" s="3">
        <v>16</v>
      </c>
      <c r="AN200" s="29">
        <v>12</v>
      </c>
      <c r="AO200" s="3">
        <v>20</v>
      </c>
      <c r="AR200" s="3">
        <v>20</v>
      </c>
      <c r="AU200" s="3">
        <v>62500</v>
      </c>
      <c r="AV200" s="3">
        <v>90733</v>
      </c>
      <c r="AW200" s="3">
        <v>95000</v>
      </c>
      <c r="AX200" s="3">
        <v>137913</v>
      </c>
      <c r="AY200" s="3">
        <v>68.883758712346406</v>
      </c>
      <c r="AZ200" s="3" t="s">
        <v>89</v>
      </c>
      <c r="BA200" s="3" t="s">
        <v>1109</v>
      </c>
      <c r="BC200" s="3" t="s">
        <v>1110</v>
      </c>
      <c r="BD200" s="8">
        <v>2</v>
      </c>
    </row>
    <row r="201" spans="1:56" ht="14.25" customHeight="1" thickBot="1">
      <c r="A201" s="3" t="s">
        <v>1111</v>
      </c>
      <c r="B201" s="3" t="s">
        <v>959</v>
      </c>
      <c r="C201" s="3" t="s">
        <v>1112</v>
      </c>
      <c r="E201" s="3" t="s">
        <v>71</v>
      </c>
      <c r="F201" s="3">
        <f t="shared" si="0"/>
        <v>2</v>
      </c>
      <c r="G201" s="3" t="s">
        <v>72</v>
      </c>
      <c r="H201" s="3">
        <f t="shared" si="1"/>
        <v>2</v>
      </c>
      <c r="I201" s="3" t="s">
        <v>73</v>
      </c>
      <c r="J201" s="3" t="s">
        <v>74</v>
      </c>
      <c r="K201" s="3" t="s">
        <v>127</v>
      </c>
      <c r="M201" s="3" t="s">
        <v>97</v>
      </c>
      <c r="N201" s="3" t="s">
        <v>98</v>
      </c>
      <c r="O201" s="3" t="s">
        <v>78</v>
      </c>
      <c r="P201" s="3" t="s">
        <v>79</v>
      </c>
      <c r="Q201" s="3" t="s">
        <v>1113</v>
      </c>
      <c r="S201" s="18">
        <v>12.65</v>
      </c>
      <c r="T201" s="18">
        <v>1.99</v>
      </c>
      <c r="U201" s="18">
        <v>11.87</v>
      </c>
      <c r="V201" s="3" t="s">
        <v>95</v>
      </c>
      <c r="Z201" s="3" t="s">
        <v>264</v>
      </c>
      <c r="AC201" s="3" t="s">
        <v>81</v>
      </c>
      <c r="AD201" s="5">
        <v>43.097243968891298</v>
      </c>
      <c r="AE201" s="17">
        <v>-79.028998161226795</v>
      </c>
      <c r="AH201" s="3">
        <v>2006</v>
      </c>
      <c r="AI201" s="3">
        <v>10</v>
      </c>
      <c r="AJ201" s="8">
        <v>12</v>
      </c>
      <c r="AK201" s="3">
        <v>2006</v>
      </c>
      <c r="AL201" s="3">
        <v>10</v>
      </c>
      <c r="AM201" s="3">
        <v>14</v>
      </c>
      <c r="AN201" s="29">
        <v>3</v>
      </c>
      <c r="AU201" s="3">
        <v>200000</v>
      </c>
      <c r="AV201" s="3">
        <v>290344</v>
      </c>
      <c r="AW201" s="3">
        <v>300000</v>
      </c>
      <c r="AX201" s="3">
        <v>435516</v>
      </c>
      <c r="AY201" s="3">
        <v>68.883758712346406</v>
      </c>
      <c r="AZ201" s="3" t="s">
        <v>82</v>
      </c>
      <c r="BB201" s="3" t="s">
        <v>1114</v>
      </c>
      <c r="BC201" s="3" t="s">
        <v>1115</v>
      </c>
      <c r="BD201" s="8">
        <v>0</v>
      </c>
    </row>
    <row r="202" spans="1:56" ht="14.25" customHeight="1" thickBot="1">
      <c r="A202" s="3" t="s">
        <v>1116</v>
      </c>
      <c r="B202" s="3" t="s">
        <v>959</v>
      </c>
      <c r="C202" s="3" t="s">
        <v>1117</v>
      </c>
      <c r="E202" s="3" t="s">
        <v>71</v>
      </c>
      <c r="F202" s="3">
        <f t="shared" si="0"/>
        <v>2</v>
      </c>
      <c r="G202" s="3" t="s">
        <v>72</v>
      </c>
      <c r="H202" s="3">
        <f t="shared" si="1"/>
        <v>2</v>
      </c>
      <c r="I202" s="3" t="s">
        <v>73</v>
      </c>
      <c r="J202" s="3" t="s">
        <v>212</v>
      </c>
      <c r="L202" s="3" t="s">
        <v>1118</v>
      </c>
      <c r="M202" s="3" t="s">
        <v>97</v>
      </c>
      <c r="N202" s="3" t="s">
        <v>98</v>
      </c>
      <c r="O202" s="3" t="s">
        <v>78</v>
      </c>
      <c r="P202" s="3" t="s">
        <v>79</v>
      </c>
      <c r="Q202" s="3" t="s">
        <v>1119</v>
      </c>
      <c r="S202" s="18">
        <v>0</v>
      </c>
      <c r="T202" s="18">
        <v>23.74</v>
      </c>
      <c r="U202" s="18">
        <v>35.82</v>
      </c>
      <c r="V202" s="3" t="s">
        <v>95</v>
      </c>
      <c r="AB202" s="3">
        <v>119</v>
      </c>
      <c r="AC202" s="3" t="s">
        <v>81</v>
      </c>
      <c r="AD202" s="8">
        <v>34.74</v>
      </c>
      <c r="AE202" s="8">
        <v>-77.87</v>
      </c>
      <c r="AH202" s="3">
        <v>2006</v>
      </c>
      <c r="AI202" s="3">
        <v>8</v>
      </c>
      <c r="AJ202" s="8">
        <v>2</v>
      </c>
      <c r="AK202" s="3">
        <v>2006</v>
      </c>
      <c r="AL202" s="3">
        <v>9</v>
      </c>
      <c r="AM202" s="3">
        <v>7</v>
      </c>
      <c r="AN202" s="29">
        <v>6</v>
      </c>
      <c r="AP202" s="3">
        <v>140</v>
      </c>
      <c r="AR202" s="3">
        <v>140</v>
      </c>
      <c r="AW202" s="3">
        <v>32860</v>
      </c>
      <c r="AX202" s="3">
        <v>47704</v>
      </c>
      <c r="AY202" s="3">
        <v>68.883758712346406</v>
      </c>
      <c r="AZ202" s="3" t="s">
        <v>89</v>
      </c>
      <c r="BA202" s="3" t="s">
        <v>1120</v>
      </c>
      <c r="BC202" s="3" t="s">
        <v>1121</v>
      </c>
      <c r="BD202" s="8">
        <v>3</v>
      </c>
    </row>
    <row r="203" spans="1:56" ht="14.25" customHeight="1" thickBot="1">
      <c r="A203" s="3" t="s">
        <v>1122</v>
      </c>
      <c r="B203" s="3" t="s">
        <v>959</v>
      </c>
      <c r="C203" s="3" t="s">
        <v>1123</v>
      </c>
      <c r="E203" s="3" t="s">
        <v>71</v>
      </c>
      <c r="F203" s="3">
        <f t="shared" si="0"/>
        <v>2</v>
      </c>
      <c r="G203" s="3" t="s">
        <v>72</v>
      </c>
      <c r="H203" s="3">
        <f t="shared" si="1"/>
        <v>2</v>
      </c>
      <c r="I203" s="3" t="s">
        <v>73</v>
      </c>
      <c r="J203" s="3" t="s">
        <v>74</v>
      </c>
      <c r="K203" s="3" t="s">
        <v>75</v>
      </c>
      <c r="M203" s="3" t="s">
        <v>97</v>
      </c>
      <c r="N203" s="3" t="s">
        <v>98</v>
      </c>
      <c r="O203" s="3" t="s">
        <v>78</v>
      </c>
      <c r="P203" s="3" t="s">
        <v>79</v>
      </c>
      <c r="Q203" s="3" t="s">
        <v>1124</v>
      </c>
      <c r="S203" s="18">
        <v>20.49</v>
      </c>
      <c r="T203" s="18">
        <v>17.899999999999999</v>
      </c>
      <c r="U203" s="18">
        <v>24.55</v>
      </c>
      <c r="AB203" s="3">
        <v>193</v>
      </c>
      <c r="AC203" s="3" t="s">
        <v>81</v>
      </c>
      <c r="AD203" s="5">
        <v>29.206652283111801</v>
      </c>
      <c r="AE203" s="17">
        <v>-81.038934460701299</v>
      </c>
      <c r="AH203" s="3">
        <v>2006</v>
      </c>
      <c r="AI203" s="3">
        <v>12</v>
      </c>
      <c r="AJ203" s="8">
        <v>25</v>
      </c>
      <c r="AK203" s="3">
        <v>2006</v>
      </c>
      <c r="AL203" s="3">
        <v>12</v>
      </c>
      <c r="AM203" s="3">
        <v>25</v>
      </c>
      <c r="AN203" s="29">
        <v>0</v>
      </c>
      <c r="AP203" s="3">
        <v>600</v>
      </c>
      <c r="AR203" s="3">
        <v>600</v>
      </c>
      <c r="AU203" s="3">
        <v>56000</v>
      </c>
      <c r="AV203" s="3">
        <v>81296</v>
      </c>
      <c r="AW203" s="3">
        <v>90000</v>
      </c>
      <c r="AX203" s="3">
        <v>130655</v>
      </c>
      <c r="AY203" s="3">
        <v>68.883758712346406</v>
      </c>
      <c r="AZ203" s="3" t="s">
        <v>82</v>
      </c>
      <c r="BB203" s="3" t="s">
        <v>1125</v>
      </c>
      <c r="BC203" s="3" t="s">
        <v>1126</v>
      </c>
      <c r="BD203" s="8">
        <v>3</v>
      </c>
    </row>
    <row r="204" spans="1:56" ht="14.25" customHeight="1" thickBot="1">
      <c r="A204" s="3" t="s">
        <v>1127</v>
      </c>
      <c r="B204" s="3" t="s">
        <v>959</v>
      </c>
      <c r="C204" s="3" t="s">
        <v>1128</v>
      </c>
      <c r="E204" s="3" t="s">
        <v>71</v>
      </c>
      <c r="F204" s="3">
        <f t="shared" si="0"/>
        <v>2</v>
      </c>
      <c r="G204" s="3" t="s">
        <v>72</v>
      </c>
      <c r="H204" s="3">
        <f t="shared" si="1"/>
        <v>2</v>
      </c>
      <c r="I204" s="3" t="s">
        <v>73</v>
      </c>
      <c r="J204" s="3" t="s">
        <v>74</v>
      </c>
      <c r="K204" s="3" t="s">
        <v>127</v>
      </c>
      <c r="M204" s="3" t="s">
        <v>97</v>
      </c>
      <c r="N204" s="3" t="s">
        <v>98</v>
      </c>
      <c r="O204" s="3" t="s">
        <v>78</v>
      </c>
      <c r="P204" s="3" t="s">
        <v>79</v>
      </c>
      <c r="Q204" s="3" t="s">
        <v>1129</v>
      </c>
      <c r="S204" s="18">
        <v>0</v>
      </c>
      <c r="T204" s="18">
        <v>-13.39</v>
      </c>
      <c r="U204" s="18">
        <v>-3.33</v>
      </c>
      <c r="Z204" s="3" t="s">
        <v>264</v>
      </c>
      <c r="AC204" s="3" t="s">
        <v>81</v>
      </c>
      <c r="AD204" s="5">
        <v>39.130014719407001</v>
      </c>
      <c r="AE204" s="17">
        <v>-105.70675229288101</v>
      </c>
      <c r="AH204" s="3">
        <v>2006</v>
      </c>
      <c r="AI204" s="3">
        <v>12</v>
      </c>
      <c r="AJ204" s="8">
        <v>21</v>
      </c>
      <c r="AK204" s="3">
        <v>2006</v>
      </c>
      <c r="AL204" s="3">
        <v>12</v>
      </c>
      <c r="AM204" s="3">
        <v>21</v>
      </c>
      <c r="AN204" s="29">
        <v>0</v>
      </c>
      <c r="AY204" s="3">
        <v>68.883758712346406</v>
      </c>
      <c r="AZ204" s="3" t="s">
        <v>89</v>
      </c>
      <c r="BA204" s="3" t="s">
        <v>584</v>
      </c>
      <c r="BC204" s="3" t="s">
        <v>585</v>
      </c>
      <c r="BD204" s="8">
        <v>0</v>
      </c>
    </row>
    <row r="205" spans="1:56" ht="14.25" customHeight="1" thickBot="1">
      <c r="A205" s="3" t="s">
        <v>1130</v>
      </c>
      <c r="B205" s="3" t="s">
        <v>959</v>
      </c>
      <c r="C205" s="3" t="s">
        <v>1131</v>
      </c>
      <c r="E205" s="3" t="s">
        <v>71</v>
      </c>
      <c r="F205" s="3">
        <f t="shared" si="0"/>
        <v>2</v>
      </c>
      <c r="G205" s="3" t="s">
        <v>72</v>
      </c>
      <c r="H205" s="3">
        <f t="shared" si="1"/>
        <v>2</v>
      </c>
      <c r="I205" s="3" t="s">
        <v>73</v>
      </c>
      <c r="J205" s="3" t="s">
        <v>74</v>
      </c>
      <c r="K205" s="3" t="s">
        <v>127</v>
      </c>
      <c r="M205" s="3" t="s">
        <v>97</v>
      </c>
      <c r="N205" s="3" t="s">
        <v>98</v>
      </c>
      <c r="O205" s="3" t="s">
        <v>78</v>
      </c>
      <c r="P205" s="3" t="s">
        <v>79</v>
      </c>
      <c r="Q205" s="3" t="s">
        <v>1132</v>
      </c>
      <c r="S205" s="18">
        <v>0</v>
      </c>
      <c r="T205" s="18">
        <v>-4.45</v>
      </c>
      <c r="U205" s="18">
        <v>9.2799999999999994</v>
      </c>
      <c r="Z205" s="3" t="s">
        <v>264</v>
      </c>
      <c r="AC205" s="3" t="s">
        <v>81</v>
      </c>
      <c r="AD205" s="5">
        <v>38.374092068942801</v>
      </c>
      <c r="AE205" s="17">
        <v>-98.410377333740001</v>
      </c>
      <c r="AH205" s="3">
        <v>2006</v>
      </c>
      <c r="AI205" s="3">
        <v>12</v>
      </c>
      <c r="AJ205" s="8">
        <v>27</v>
      </c>
      <c r="AK205" s="3">
        <v>2006</v>
      </c>
      <c r="AL205" s="3">
        <v>12</v>
      </c>
      <c r="AM205" s="3">
        <v>31</v>
      </c>
      <c r="AN205" s="29">
        <v>0</v>
      </c>
      <c r="AW205" s="3">
        <v>360000</v>
      </c>
      <c r="AX205" s="3">
        <v>522620</v>
      </c>
      <c r="AY205" s="3">
        <v>68.883758712346406</v>
      </c>
      <c r="AZ205" s="3" t="s">
        <v>89</v>
      </c>
      <c r="BA205" s="3" t="s">
        <v>1133</v>
      </c>
      <c r="BC205" s="3" t="s">
        <v>1134</v>
      </c>
      <c r="BD205" s="8">
        <v>0</v>
      </c>
    </row>
    <row r="206" spans="1:56" ht="14.25" customHeight="1" thickBot="1">
      <c r="A206" s="3" t="s">
        <v>1135</v>
      </c>
      <c r="B206" s="3" t="s">
        <v>959</v>
      </c>
      <c r="C206" s="3" t="s">
        <v>1136</v>
      </c>
      <c r="E206" s="3" t="s">
        <v>71</v>
      </c>
      <c r="F206" s="3">
        <f t="shared" si="0"/>
        <v>1</v>
      </c>
      <c r="G206" s="3" t="s">
        <v>94</v>
      </c>
      <c r="H206" s="3">
        <f t="shared" si="1"/>
        <v>1</v>
      </c>
      <c r="I206" s="3" t="s">
        <v>95</v>
      </c>
      <c r="J206" s="3" t="s">
        <v>96</v>
      </c>
      <c r="M206" s="3" t="s">
        <v>97</v>
      </c>
      <c r="N206" s="3" t="s">
        <v>98</v>
      </c>
      <c r="O206" s="3" t="s">
        <v>78</v>
      </c>
      <c r="P206" s="3" t="s">
        <v>79</v>
      </c>
      <c r="Q206" s="3" t="s">
        <v>1137</v>
      </c>
      <c r="R206" s="3" t="s">
        <v>1138</v>
      </c>
      <c r="S206" s="18">
        <v>2.1800000000000002</v>
      </c>
      <c r="T206" s="18">
        <v>19.82</v>
      </c>
      <c r="U206" s="18">
        <v>26.97</v>
      </c>
      <c r="AB206" s="3">
        <v>6780</v>
      </c>
      <c r="AC206" s="3" t="s">
        <v>102</v>
      </c>
      <c r="AD206" s="8">
        <v>41.41</v>
      </c>
      <c r="AE206" s="8">
        <v>-86.91</v>
      </c>
      <c r="AG206" s="3" t="s">
        <v>1139</v>
      </c>
      <c r="AH206" s="3">
        <v>2006</v>
      </c>
      <c r="AI206" s="3">
        <v>6</v>
      </c>
      <c r="AJ206" s="8">
        <v>22</v>
      </c>
      <c r="AK206" s="3">
        <v>2006</v>
      </c>
      <c r="AL206" s="3">
        <v>6</v>
      </c>
      <c r="AM206" s="3">
        <v>25</v>
      </c>
      <c r="AN206" s="29">
        <v>2</v>
      </c>
      <c r="AP206" s="3">
        <v>2400</v>
      </c>
      <c r="AR206" s="3">
        <v>2400</v>
      </c>
      <c r="AW206" s="3">
        <v>7000</v>
      </c>
      <c r="AX206" s="3">
        <v>10162</v>
      </c>
      <c r="AY206" s="3">
        <v>68.883758712346406</v>
      </c>
      <c r="AZ206" s="3" t="s">
        <v>82</v>
      </c>
      <c r="BB206" s="3" t="s">
        <v>1140</v>
      </c>
      <c r="BC206" s="3" t="s">
        <v>1141</v>
      </c>
      <c r="BD206" s="8">
        <v>4</v>
      </c>
    </row>
    <row r="207" spans="1:56" ht="14.25" customHeight="1" thickBot="1">
      <c r="A207" s="3" t="s">
        <v>1142</v>
      </c>
      <c r="B207" s="3" t="s">
        <v>959</v>
      </c>
      <c r="C207" s="3" t="s">
        <v>755</v>
      </c>
      <c r="E207" s="3" t="s">
        <v>71</v>
      </c>
      <c r="F207" s="3">
        <f t="shared" si="0"/>
        <v>1</v>
      </c>
      <c r="G207" s="3" t="s">
        <v>94</v>
      </c>
      <c r="H207" s="3">
        <f t="shared" si="1"/>
        <v>1</v>
      </c>
      <c r="I207" s="3" t="s">
        <v>95</v>
      </c>
      <c r="J207" s="3" t="s">
        <v>96</v>
      </c>
      <c r="M207" s="3" t="s">
        <v>97</v>
      </c>
      <c r="N207" s="3" t="s">
        <v>98</v>
      </c>
      <c r="O207" s="3" t="s">
        <v>78</v>
      </c>
      <c r="P207" s="3" t="s">
        <v>79</v>
      </c>
      <c r="Q207" s="3" t="s">
        <v>1143</v>
      </c>
      <c r="R207" s="3" t="s">
        <v>100</v>
      </c>
      <c r="S207" s="18">
        <v>14.23</v>
      </c>
      <c r="T207" s="18">
        <v>21.98</v>
      </c>
      <c r="U207" s="18">
        <v>35.25</v>
      </c>
      <c r="AB207" s="3">
        <v>3610</v>
      </c>
      <c r="AC207" s="3" t="s">
        <v>102</v>
      </c>
      <c r="AD207" s="8">
        <v>31.76</v>
      </c>
      <c r="AE207" s="8">
        <v>-106.39</v>
      </c>
      <c r="AG207" s="3" t="s">
        <v>1144</v>
      </c>
      <c r="AH207" s="3">
        <v>2006</v>
      </c>
      <c r="AI207" s="3">
        <v>7</v>
      </c>
      <c r="AJ207" s="8">
        <v>27</v>
      </c>
      <c r="AK207" s="3">
        <v>2006</v>
      </c>
      <c r="AL207" s="3">
        <v>8</v>
      </c>
      <c r="AM207" s="3">
        <v>7</v>
      </c>
      <c r="AN207" s="29">
        <v>0</v>
      </c>
      <c r="AW207" s="3">
        <v>100000</v>
      </c>
      <c r="AX207" s="3">
        <v>145172</v>
      </c>
      <c r="AY207" s="3">
        <v>68.883758712346406</v>
      </c>
      <c r="AZ207" s="3" t="s">
        <v>82</v>
      </c>
      <c r="BB207" s="3" t="s">
        <v>1145</v>
      </c>
      <c r="BC207" s="3" t="s">
        <v>1146</v>
      </c>
      <c r="BD207" s="8">
        <v>0</v>
      </c>
    </row>
    <row r="208" spans="1:56" ht="14.25" customHeight="1" thickBot="1">
      <c r="A208" s="3" t="s">
        <v>1147</v>
      </c>
      <c r="B208" s="3" t="s">
        <v>959</v>
      </c>
      <c r="C208" s="3" t="s">
        <v>1148</v>
      </c>
      <c r="E208" s="3" t="s">
        <v>71</v>
      </c>
      <c r="F208" s="3">
        <f t="shared" si="0"/>
        <v>1</v>
      </c>
      <c r="G208" s="3" t="s">
        <v>94</v>
      </c>
      <c r="H208" s="3">
        <f t="shared" si="1"/>
        <v>1</v>
      </c>
      <c r="I208" s="3" t="s">
        <v>95</v>
      </c>
      <c r="J208" s="3" t="s">
        <v>96</v>
      </c>
      <c r="M208" s="3" t="s">
        <v>97</v>
      </c>
      <c r="N208" s="3" t="s">
        <v>98</v>
      </c>
      <c r="O208" s="3" t="s">
        <v>78</v>
      </c>
      <c r="P208" s="3" t="s">
        <v>79</v>
      </c>
      <c r="Q208" s="3" t="s">
        <v>1149</v>
      </c>
      <c r="R208" s="3" t="s">
        <v>100</v>
      </c>
      <c r="S208" s="18">
        <v>90.88</v>
      </c>
      <c r="T208" s="16">
        <v>19.32</v>
      </c>
      <c r="U208" s="16">
        <v>27.35</v>
      </c>
      <c r="AB208" s="3">
        <v>4720</v>
      </c>
      <c r="AC208" s="3" t="s">
        <v>102</v>
      </c>
      <c r="AD208" s="8">
        <v>41.52</v>
      </c>
      <c r="AE208" s="8">
        <v>-81.09</v>
      </c>
      <c r="AG208" s="3" t="s">
        <v>1150</v>
      </c>
      <c r="AH208" s="3">
        <v>2006</v>
      </c>
      <c r="AI208" s="3">
        <v>7</v>
      </c>
      <c r="AJ208" s="8">
        <v>27</v>
      </c>
      <c r="AK208" s="3">
        <v>2006</v>
      </c>
      <c r="AL208" s="3">
        <v>7</v>
      </c>
      <c r="AM208" s="3">
        <v>30</v>
      </c>
      <c r="AN208" s="29">
        <v>1</v>
      </c>
      <c r="AP208" s="3">
        <v>600</v>
      </c>
      <c r="AR208" s="3">
        <v>600</v>
      </c>
      <c r="AY208" s="3">
        <v>68.883758712346406</v>
      </c>
      <c r="AZ208" s="3" t="s">
        <v>82</v>
      </c>
      <c r="BB208" s="3" t="s">
        <v>1151</v>
      </c>
      <c r="BC208" s="3" t="s">
        <v>1152</v>
      </c>
      <c r="BD208" s="8">
        <v>3</v>
      </c>
    </row>
    <row r="209" spans="1:56" ht="14.25" customHeight="1" thickBot="1">
      <c r="A209" s="3" t="s">
        <v>1153</v>
      </c>
      <c r="B209" s="3" t="s">
        <v>959</v>
      </c>
      <c r="C209" s="3" t="s">
        <v>1154</v>
      </c>
      <c r="E209" s="3" t="s">
        <v>71</v>
      </c>
      <c r="F209" s="3">
        <f t="shared" si="0"/>
        <v>1</v>
      </c>
      <c r="G209" s="3" t="s">
        <v>94</v>
      </c>
      <c r="H209" s="3">
        <f t="shared" si="1"/>
        <v>1</v>
      </c>
      <c r="I209" s="3" t="s">
        <v>95</v>
      </c>
      <c r="J209" s="3" t="s">
        <v>96</v>
      </c>
      <c r="M209" s="3" t="s">
        <v>97</v>
      </c>
      <c r="N209" s="3" t="s">
        <v>98</v>
      </c>
      <c r="O209" s="3" t="s">
        <v>78</v>
      </c>
      <c r="P209" s="3" t="s">
        <v>79</v>
      </c>
      <c r="Q209" s="3" t="s">
        <v>253</v>
      </c>
      <c r="R209" s="3" t="s">
        <v>100</v>
      </c>
      <c r="S209" s="18">
        <v>0</v>
      </c>
      <c r="T209" s="18">
        <v>7.34</v>
      </c>
      <c r="U209" s="18">
        <v>14.56</v>
      </c>
      <c r="AB209" s="3">
        <v>95940</v>
      </c>
      <c r="AC209" s="3" t="s">
        <v>102</v>
      </c>
      <c r="AD209" s="8">
        <v>62.45</v>
      </c>
      <c r="AE209" s="8">
        <v>-99.99</v>
      </c>
      <c r="AG209" s="3" t="s">
        <v>1155</v>
      </c>
      <c r="AH209" s="3">
        <v>2006</v>
      </c>
      <c r="AI209" s="3">
        <v>8</v>
      </c>
      <c r="AJ209" s="8">
        <v>19</v>
      </c>
      <c r="AK209" s="3">
        <v>2006</v>
      </c>
      <c r="AL209" s="3">
        <v>8</v>
      </c>
      <c r="AM209" s="3">
        <v>24</v>
      </c>
      <c r="AN209" s="29">
        <v>0</v>
      </c>
      <c r="AP209" s="3">
        <v>150</v>
      </c>
      <c r="AR209" s="3">
        <v>150</v>
      </c>
      <c r="AW209" s="3">
        <v>15500</v>
      </c>
      <c r="AX209" s="3">
        <v>22502</v>
      </c>
      <c r="AY209" s="3">
        <v>68.883758712346406</v>
      </c>
      <c r="AZ209" s="3" t="s">
        <v>89</v>
      </c>
      <c r="BA209" s="3" t="s">
        <v>254</v>
      </c>
      <c r="BC209" s="3" t="s">
        <v>255</v>
      </c>
      <c r="BD209" s="8">
        <v>3</v>
      </c>
    </row>
    <row r="210" spans="1:56" ht="14.25" customHeight="1" thickBot="1">
      <c r="A210" s="3" t="s">
        <v>1156</v>
      </c>
      <c r="B210" s="3" t="s">
        <v>959</v>
      </c>
      <c r="C210" s="3" t="s">
        <v>409</v>
      </c>
      <c r="E210" s="3" t="s">
        <v>71</v>
      </c>
      <c r="F210" s="3">
        <f t="shared" si="0"/>
        <v>1</v>
      </c>
      <c r="G210" s="3" t="s">
        <v>94</v>
      </c>
      <c r="H210" s="3">
        <f t="shared" si="1"/>
        <v>1</v>
      </c>
      <c r="I210" s="3" t="s">
        <v>95</v>
      </c>
      <c r="J210" s="3" t="s">
        <v>96</v>
      </c>
      <c r="M210" s="3" t="s">
        <v>97</v>
      </c>
      <c r="N210" s="3" t="s">
        <v>98</v>
      </c>
      <c r="O210" s="3" t="s">
        <v>78</v>
      </c>
      <c r="P210" s="3" t="s">
        <v>79</v>
      </c>
      <c r="Q210" s="3" t="s">
        <v>1157</v>
      </c>
      <c r="R210" s="3" t="s">
        <v>100</v>
      </c>
      <c r="S210" s="18">
        <v>146.43</v>
      </c>
      <c r="T210" s="18">
        <v>4.93</v>
      </c>
      <c r="U210" s="18">
        <v>10.65</v>
      </c>
      <c r="AB210" s="3">
        <v>51560</v>
      </c>
      <c r="AC210" s="3" t="s">
        <v>102</v>
      </c>
      <c r="AD210" s="8">
        <v>60.88</v>
      </c>
      <c r="AE210" s="8">
        <v>-145.99</v>
      </c>
      <c r="AG210" s="3" t="s">
        <v>1158</v>
      </c>
      <c r="AH210" s="3">
        <v>2006</v>
      </c>
      <c r="AI210" s="3">
        <v>10</v>
      </c>
      <c r="AJ210" s="8">
        <v>9</v>
      </c>
      <c r="AK210" s="3">
        <v>2006</v>
      </c>
      <c r="AL210" s="3">
        <v>10</v>
      </c>
      <c r="AM210" s="3">
        <v>14</v>
      </c>
      <c r="AN210" s="29">
        <v>0</v>
      </c>
      <c r="AP210" s="3">
        <v>100</v>
      </c>
      <c r="AR210" s="3">
        <v>100</v>
      </c>
      <c r="AY210" s="3">
        <v>68.883758712346406</v>
      </c>
      <c r="AZ210" s="3" t="s">
        <v>82</v>
      </c>
      <c r="BB210" s="3" t="s">
        <v>1159</v>
      </c>
      <c r="BC210" s="3" t="s">
        <v>1160</v>
      </c>
      <c r="BD210" s="8">
        <v>3</v>
      </c>
    </row>
    <row r="211" spans="1:56" ht="14.25" customHeight="1" thickBot="1">
      <c r="A211" s="3" t="s">
        <v>1161</v>
      </c>
      <c r="B211" s="3" t="s">
        <v>959</v>
      </c>
      <c r="C211" s="3" t="s">
        <v>174</v>
      </c>
      <c r="E211" s="3" t="s">
        <v>71</v>
      </c>
      <c r="F211" s="3">
        <f t="shared" si="0"/>
        <v>1</v>
      </c>
      <c r="G211" s="3" t="s">
        <v>94</v>
      </c>
      <c r="H211" s="3">
        <f t="shared" si="1"/>
        <v>1</v>
      </c>
      <c r="I211" s="3" t="s">
        <v>95</v>
      </c>
      <c r="J211" s="3" t="s">
        <v>96</v>
      </c>
      <c r="M211" s="3" t="s">
        <v>97</v>
      </c>
      <c r="N211" s="3" t="s">
        <v>98</v>
      </c>
      <c r="O211" s="3" t="s">
        <v>78</v>
      </c>
      <c r="P211" s="3" t="s">
        <v>79</v>
      </c>
      <c r="Q211" s="3" t="s">
        <v>1162</v>
      </c>
      <c r="R211" s="3" t="s">
        <v>200</v>
      </c>
      <c r="S211" s="18">
        <v>13.76</v>
      </c>
      <c r="T211" s="18">
        <v>10.210000000000001</v>
      </c>
      <c r="U211" s="18">
        <v>14.9</v>
      </c>
      <c r="AB211" s="3">
        <v>57890</v>
      </c>
      <c r="AC211" s="3" t="s">
        <v>102</v>
      </c>
      <c r="AD211" s="8">
        <v>47.86</v>
      </c>
      <c r="AE211" s="8">
        <v>-122.15</v>
      </c>
      <c r="AG211" s="3" t="s">
        <v>1163</v>
      </c>
      <c r="AH211" s="3">
        <v>2006</v>
      </c>
      <c r="AI211" s="3">
        <v>11</v>
      </c>
      <c r="AJ211" s="8">
        <v>5</v>
      </c>
      <c r="AK211" s="3">
        <v>2006</v>
      </c>
      <c r="AL211" s="3">
        <v>11</v>
      </c>
      <c r="AM211" s="3">
        <v>10</v>
      </c>
      <c r="AN211" s="29">
        <v>2</v>
      </c>
      <c r="AP211" s="3">
        <v>1500</v>
      </c>
      <c r="AR211" s="3">
        <v>1500</v>
      </c>
      <c r="AY211" s="3">
        <v>68.883758712346406</v>
      </c>
      <c r="AZ211" s="3" t="s">
        <v>89</v>
      </c>
      <c r="BA211" s="3" t="s">
        <v>1164</v>
      </c>
      <c r="BC211" s="3" t="s">
        <v>1165</v>
      </c>
      <c r="BD211" s="8">
        <v>4</v>
      </c>
    </row>
    <row r="212" spans="1:56" ht="14.25" customHeight="1" thickBot="1">
      <c r="A212" s="3" t="s">
        <v>1166</v>
      </c>
      <c r="B212" s="3" t="s">
        <v>959</v>
      </c>
      <c r="C212" s="3" t="s">
        <v>1167</v>
      </c>
      <c r="E212" s="3" t="s">
        <v>71</v>
      </c>
      <c r="F212" s="3">
        <f t="shared" si="0"/>
        <v>2</v>
      </c>
      <c r="G212" s="3" t="s">
        <v>72</v>
      </c>
      <c r="H212" s="3">
        <f t="shared" si="1"/>
        <v>4</v>
      </c>
      <c r="I212" s="3" t="s">
        <v>219</v>
      </c>
      <c r="J212" s="3" t="s">
        <v>220</v>
      </c>
      <c r="M212" s="3" t="s">
        <v>97</v>
      </c>
      <c r="N212" s="3" t="s">
        <v>98</v>
      </c>
      <c r="O212" s="3" t="s">
        <v>78</v>
      </c>
      <c r="P212" s="3" t="s">
        <v>79</v>
      </c>
      <c r="Q212" s="3" t="s">
        <v>1168</v>
      </c>
      <c r="S212" s="18">
        <v>0</v>
      </c>
      <c r="T212" s="18">
        <v>19.11</v>
      </c>
      <c r="U212" s="18">
        <v>36.659999999999997</v>
      </c>
      <c r="AB212" s="3">
        <v>50</v>
      </c>
      <c r="AC212" s="3" t="s">
        <v>222</v>
      </c>
      <c r="AD212" s="5">
        <v>37.653452417413099</v>
      </c>
      <c r="AE212" s="17">
        <v>-121.000090315427</v>
      </c>
      <c r="AH212" s="3">
        <v>2006</v>
      </c>
      <c r="AI212" s="3">
        <v>7</v>
      </c>
      <c r="AJ212" s="8">
        <v>14</v>
      </c>
      <c r="AK212" s="3">
        <v>2006</v>
      </c>
      <c r="AL212" s="3">
        <v>8</v>
      </c>
      <c r="AM212" s="3">
        <v>15</v>
      </c>
      <c r="AN212" s="29">
        <v>164</v>
      </c>
      <c r="AY212" s="3">
        <v>68.883758712346406</v>
      </c>
      <c r="AZ212" s="3" t="s">
        <v>82</v>
      </c>
      <c r="BB212" s="3" t="s">
        <v>1169</v>
      </c>
      <c r="BC212" s="3" t="s">
        <v>1170</v>
      </c>
      <c r="BD212" s="8">
        <v>0</v>
      </c>
    </row>
    <row r="213" spans="1:56" ht="14.25" customHeight="1" thickBot="1">
      <c r="A213" s="3" t="s">
        <v>1171</v>
      </c>
      <c r="B213" s="3" t="s">
        <v>959</v>
      </c>
      <c r="C213" s="3" t="s">
        <v>1172</v>
      </c>
      <c r="E213" s="3" t="s">
        <v>71</v>
      </c>
      <c r="F213" s="3">
        <f t="shared" si="0"/>
        <v>2</v>
      </c>
      <c r="G213" s="3" t="s">
        <v>72</v>
      </c>
      <c r="H213" s="3">
        <f t="shared" si="1"/>
        <v>4</v>
      </c>
      <c r="I213" s="3" t="s">
        <v>219</v>
      </c>
      <c r="J213" s="3" t="s">
        <v>220</v>
      </c>
      <c r="M213" s="3" t="s">
        <v>97</v>
      </c>
      <c r="N213" s="3" t="s">
        <v>98</v>
      </c>
      <c r="O213" s="3" t="s">
        <v>78</v>
      </c>
      <c r="P213" s="3" t="s">
        <v>79</v>
      </c>
      <c r="Q213" s="3" t="s">
        <v>1173</v>
      </c>
      <c r="S213" s="18">
        <v>0</v>
      </c>
      <c r="T213" s="18">
        <v>17.920000000000002</v>
      </c>
      <c r="U213" s="18">
        <v>26.71</v>
      </c>
      <c r="Z213" s="3" t="s">
        <v>264</v>
      </c>
      <c r="AB213" s="3">
        <v>44</v>
      </c>
      <c r="AC213" s="3" t="s">
        <v>222</v>
      </c>
      <c r="AD213" s="5">
        <v>43.057971536927397</v>
      </c>
      <c r="AE213" s="17">
        <v>-75.580080760955795</v>
      </c>
      <c r="AH213" s="3">
        <v>2006</v>
      </c>
      <c r="AI213" s="3">
        <v>7</v>
      </c>
      <c r="AJ213" s="8">
        <v>30</v>
      </c>
      <c r="AK213" s="3">
        <v>2006</v>
      </c>
      <c r="AL213" s="3">
        <v>8</v>
      </c>
      <c r="AM213" s="3">
        <v>6</v>
      </c>
      <c r="AN213" s="29">
        <v>24</v>
      </c>
      <c r="AY213" s="3">
        <v>68.883758712346406</v>
      </c>
      <c r="AZ213" s="3" t="s">
        <v>89</v>
      </c>
      <c r="BA213" s="3" t="s">
        <v>1174</v>
      </c>
      <c r="BC213" s="3" t="s">
        <v>1175</v>
      </c>
      <c r="BD213" s="8">
        <v>0</v>
      </c>
    </row>
    <row r="214" spans="1:56" ht="14.25" customHeight="1" thickBot="1">
      <c r="A214" s="3" t="s">
        <v>1176</v>
      </c>
      <c r="B214" s="3" t="s">
        <v>959</v>
      </c>
      <c r="C214" s="3" t="s">
        <v>1177</v>
      </c>
      <c r="E214" s="3" t="s">
        <v>71</v>
      </c>
      <c r="F214" s="3">
        <f t="shared" si="0"/>
        <v>3</v>
      </c>
      <c r="G214" s="3" t="s">
        <v>119</v>
      </c>
      <c r="H214" s="3">
        <f t="shared" si="1"/>
        <v>3</v>
      </c>
      <c r="I214" s="3" t="s">
        <v>122</v>
      </c>
      <c r="J214" s="3" t="s">
        <v>600</v>
      </c>
      <c r="M214" s="3" t="s">
        <v>97</v>
      </c>
      <c r="N214" s="3" t="s">
        <v>98</v>
      </c>
      <c r="O214" s="3" t="s">
        <v>78</v>
      </c>
      <c r="P214" s="3" t="s">
        <v>79</v>
      </c>
      <c r="Q214" s="3" t="s">
        <v>1178</v>
      </c>
      <c r="S214" s="18">
        <v>0</v>
      </c>
      <c r="T214" s="18">
        <v>11.14</v>
      </c>
      <c r="U214" s="18">
        <v>29</v>
      </c>
      <c r="Z214" s="3" t="s">
        <v>264</v>
      </c>
      <c r="AC214" s="3" t="s">
        <v>102</v>
      </c>
      <c r="AD214" s="6">
        <v>33.953360000000004</v>
      </c>
      <c r="AE214" s="6">
        <v>-117.396162</v>
      </c>
      <c r="AH214" s="3">
        <v>2006</v>
      </c>
      <c r="AI214" s="3">
        <v>10</v>
      </c>
      <c r="AJ214" s="8">
        <v>26</v>
      </c>
      <c r="AK214" s="3">
        <v>2006</v>
      </c>
      <c r="AL214" s="3">
        <v>10</v>
      </c>
      <c r="AM214" s="3">
        <v>27</v>
      </c>
      <c r="AN214" s="29">
        <v>4</v>
      </c>
      <c r="AO214" s="3">
        <v>1</v>
      </c>
      <c r="AQ214" s="3">
        <v>102</v>
      </c>
      <c r="AR214" s="3">
        <v>103</v>
      </c>
      <c r="AW214" s="3">
        <v>25000</v>
      </c>
      <c r="AX214" s="3">
        <v>36293</v>
      </c>
      <c r="AY214" s="3">
        <v>68.883758712346406</v>
      </c>
      <c r="AZ214" s="3" t="s">
        <v>82</v>
      </c>
      <c r="BB214" s="3" t="s">
        <v>1179</v>
      </c>
      <c r="BC214" s="3" t="s">
        <v>1180</v>
      </c>
      <c r="BD214" s="8">
        <v>3</v>
      </c>
    </row>
    <row r="215" spans="1:56" ht="14.25" customHeight="1" thickBot="1">
      <c r="A215" s="3" t="s">
        <v>1181</v>
      </c>
      <c r="B215" s="3" t="s">
        <v>959</v>
      </c>
      <c r="C215" s="3" t="s">
        <v>1182</v>
      </c>
      <c r="E215" s="3" t="s">
        <v>71</v>
      </c>
      <c r="F215" s="3">
        <f t="shared" si="0"/>
        <v>3</v>
      </c>
      <c r="G215" s="3" t="s">
        <v>119</v>
      </c>
      <c r="H215" s="3">
        <f t="shared" si="1"/>
        <v>3</v>
      </c>
      <c r="I215" s="3" t="s">
        <v>122</v>
      </c>
      <c r="J215" s="3" t="s">
        <v>600</v>
      </c>
      <c r="M215" s="3" t="s">
        <v>97</v>
      </c>
      <c r="N215" s="3" t="s">
        <v>98</v>
      </c>
      <c r="O215" s="3" t="s">
        <v>78</v>
      </c>
      <c r="P215" s="3" t="s">
        <v>79</v>
      </c>
      <c r="Q215" s="3" t="s">
        <v>1183</v>
      </c>
      <c r="S215" s="18">
        <v>0</v>
      </c>
      <c r="T215" s="18">
        <v>4.8899999999999997</v>
      </c>
      <c r="U215" s="18">
        <v>22.12</v>
      </c>
      <c r="Z215" s="3" t="s">
        <v>264</v>
      </c>
      <c r="AC215" s="3" t="s">
        <v>102</v>
      </c>
      <c r="AD215" s="6">
        <v>33.719279999999998</v>
      </c>
      <c r="AE215" s="6">
        <v>-116.35403599999999</v>
      </c>
      <c r="AH215" s="3">
        <v>2006</v>
      </c>
      <c r="AI215" s="3">
        <v>12</v>
      </c>
      <c r="AJ215" s="8">
        <v>3</v>
      </c>
      <c r="AK215" s="3">
        <v>2006</v>
      </c>
      <c r="AL215" s="3">
        <v>12</v>
      </c>
      <c r="AM215" s="3">
        <v>6</v>
      </c>
      <c r="AN215" s="29">
        <v>0</v>
      </c>
      <c r="AQ215" s="3">
        <v>15</v>
      </c>
      <c r="AR215" s="3">
        <v>15</v>
      </c>
      <c r="AW215" s="3">
        <v>25000</v>
      </c>
      <c r="AX215" s="3">
        <v>36293</v>
      </c>
      <c r="AY215" s="3">
        <v>68.883758712346406</v>
      </c>
      <c r="AZ215" s="3" t="s">
        <v>82</v>
      </c>
      <c r="BB215" s="3" t="s">
        <v>1184</v>
      </c>
      <c r="BC215" s="3" t="s">
        <v>1185</v>
      </c>
      <c r="BD215" s="8">
        <v>2</v>
      </c>
    </row>
    <row r="216" spans="1:56" ht="14.25" customHeight="1" thickBot="1">
      <c r="A216" s="3" t="s">
        <v>1186</v>
      </c>
      <c r="B216" s="3" t="s">
        <v>959</v>
      </c>
      <c r="C216" s="3" t="s">
        <v>1187</v>
      </c>
      <c r="E216" s="3" t="s">
        <v>71</v>
      </c>
      <c r="F216" s="3">
        <f t="shared" si="0"/>
        <v>3</v>
      </c>
      <c r="G216" s="3" t="s">
        <v>119</v>
      </c>
      <c r="H216" s="3">
        <f t="shared" si="1"/>
        <v>3</v>
      </c>
      <c r="I216" s="3" t="s">
        <v>122</v>
      </c>
      <c r="M216" s="3" t="s">
        <v>97</v>
      </c>
      <c r="N216" s="3" t="s">
        <v>98</v>
      </c>
      <c r="O216" s="3" t="s">
        <v>78</v>
      </c>
      <c r="P216" s="3" t="s">
        <v>79</v>
      </c>
      <c r="Q216" s="3" t="s">
        <v>1188</v>
      </c>
      <c r="S216" s="18">
        <v>0</v>
      </c>
      <c r="T216" s="18">
        <v>29.9</v>
      </c>
      <c r="U216" s="18">
        <v>44.6</v>
      </c>
      <c r="Z216" s="3" t="s">
        <v>264</v>
      </c>
      <c r="AB216" s="3">
        <v>350</v>
      </c>
      <c r="AC216" s="3" t="s">
        <v>102</v>
      </c>
      <c r="AD216" s="6">
        <v>33.719279999999998</v>
      </c>
      <c r="AE216" s="6">
        <v>-116.35403599999999</v>
      </c>
      <c r="AH216" s="3">
        <v>2006</v>
      </c>
      <c r="AI216" s="3">
        <v>7</v>
      </c>
      <c r="AJ216" s="8">
        <v>9</v>
      </c>
      <c r="AK216" s="3">
        <v>2006</v>
      </c>
      <c r="AL216" s="3">
        <v>7</v>
      </c>
      <c r="AM216" s="3">
        <v>14</v>
      </c>
      <c r="AN216" s="29">
        <v>1</v>
      </c>
      <c r="AO216" s="3">
        <v>17</v>
      </c>
      <c r="AQ216" s="3">
        <v>150</v>
      </c>
      <c r="AR216" s="3">
        <v>167</v>
      </c>
      <c r="AW216" s="3">
        <v>16000</v>
      </c>
      <c r="AX216" s="3">
        <v>23228</v>
      </c>
      <c r="AY216" s="3">
        <v>68.883758712346406</v>
      </c>
      <c r="AZ216" s="3" t="s">
        <v>89</v>
      </c>
      <c r="BA216" s="3" t="s">
        <v>1189</v>
      </c>
      <c r="BC216" s="3" t="s">
        <v>1190</v>
      </c>
      <c r="BD216" s="8">
        <v>3</v>
      </c>
    </row>
    <row r="217" spans="1:56" ht="14.25" customHeight="1" thickBot="1">
      <c r="A217" s="3" t="s">
        <v>1191</v>
      </c>
      <c r="B217" s="3" t="s">
        <v>959</v>
      </c>
      <c r="C217" s="3" t="s">
        <v>1192</v>
      </c>
      <c r="E217" s="3" t="s">
        <v>71</v>
      </c>
      <c r="F217" s="3">
        <f t="shared" si="0"/>
        <v>2</v>
      </c>
      <c r="G217" s="3" t="s">
        <v>72</v>
      </c>
      <c r="H217" s="3">
        <f t="shared" si="1"/>
        <v>2</v>
      </c>
      <c r="I217" s="3" t="s">
        <v>73</v>
      </c>
      <c r="M217" s="3" t="s">
        <v>97</v>
      </c>
      <c r="N217" s="3" t="s">
        <v>98</v>
      </c>
      <c r="O217" s="3" t="s">
        <v>78</v>
      </c>
      <c r="P217" s="3" t="s">
        <v>79</v>
      </c>
      <c r="Q217" s="3" t="s">
        <v>1193</v>
      </c>
      <c r="S217" s="18">
        <v>4.5999999999999996</v>
      </c>
      <c r="T217" s="18">
        <v>1.54</v>
      </c>
      <c r="U217" s="18">
        <v>9.81</v>
      </c>
      <c r="AC217" s="3" t="s">
        <v>81</v>
      </c>
      <c r="AD217" s="6">
        <v>43.979280000000003</v>
      </c>
      <c r="AE217" s="6">
        <v>-120.737257</v>
      </c>
      <c r="AH217" s="3">
        <v>2006</v>
      </c>
      <c r="AI217" s="3">
        <v>12</v>
      </c>
      <c r="AJ217" s="8">
        <v>14</v>
      </c>
      <c r="AK217" s="3">
        <v>2006</v>
      </c>
      <c r="AL217" s="3">
        <v>12</v>
      </c>
      <c r="AM217" s="3">
        <v>15</v>
      </c>
      <c r="AN217" s="29">
        <v>10</v>
      </c>
      <c r="AU217" s="3">
        <v>200000</v>
      </c>
      <c r="AV217" s="3">
        <v>290344</v>
      </c>
      <c r="AY217" s="3">
        <v>68.883758712346406</v>
      </c>
      <c r="AZ217" s="3" t="s">
        <v>89</v>
      </c>
      <c r="BA217" s="3" t="s">
        <v>1164</v>
      </c>
      <c r="BC217" s="3" t="s">
        <v>1165</v>
      </c>
      <c r="BD217" s="8">
        <v>0</v>
      </c>
    </row>
    <row r="218" spans="1:56" ht="14.25" customHeight="1" thickBot="1">
      <c r="A218" s="3" t="s">
        <v>1194</v>
      </c>
      <c r="B218" s="3" t="s">
        <v>988</v>
      </c>
      <c r="C218" s="3" t="s">
        <v>1195</v>
      </c>
      <c r="E218" s="3" t="s">
        <v>71</v>
      </c>
      <c r="F218" s="3">
        <f t="shared" si="0"/>
        <v>2</v>
      </c>
      <c r="G218" s="3" t="s">
        <v>72</v>
      </c>
      <c r="H218" s="3">
        <f t="shared" si="1"/>
        <v>2</v>
      </c>
      <c r="I218" s="3" t="s">
        <v>73</v>
      </c>
      <c r="M218" s="3" t="s">
        <v>97</v>
      </c>
      <c r="N218" s="3" t="s">
        <v>98</v>
      </c>
      <c r="O218" s="3" t="s">
        <v>78</v>
      </c>
      <c r="P218" s="3" t="s">
        <v>79</v>
      </c>
      <c r="Q218" s="3" t="s">
        <v>1196</v>
      </c>
      <c r="S218" s="18">
        <v>0</v>
      </c>
      <c r="T218" s="18">
        <v>2.0699999999999998</v>
      </c>
      <c r="U218" s="18">
        <v>14.87</v>
      </c>
      <c r="V218" s="3" t="s">
        <v>683</v>
      </c>
      <c r="W218" s="3" t="s">
        <v>114</v>
      </c>
      <c r="Z218" s="3" t="s">
        <v>264</v>
      </c>
      <c r="AC218" s="3" t="s">
        <v>81</v>
      </c>
      <c r="AD218" s="6">
        <v>33.719279999999998</v>
      </c>
      <c r="AE218" s="6">
        <v>-116.35403599999999</v>
      </c>
      <c r="AH218" s="3">
        <v>2007</v>
      </c>
      <c r="AI218" s="3">
        <v>1</v>
      </c>
      <c r="AJ218" s="8">
        <v>12</v>
      </c>
      <c r="AK218" s="3">
        <v>2007</v>
      </c>
      <c r="AL218" s="3">
        <v>1</v>
      </c>
      <c r="AM218" s="3">
        <v>17</v>
      </c>
      <c r="AN218" s="29">
        <v>65</v>
      </c>
      <c r="AO218" s="3">
        <v>220</v>
      </c>
      <c r="AR218" s="3">
        <v>220</v>
      </c>
      <c r="AU218" s="3">
        <v>200000</v>
      </c>
      <c r="AV218" s="3">
        <v>282291</v>
      </c>
      <c r="AW218" s="3">
        <v>500000</v>
      </c>
      <c r="AX218" s="3">
        <v>705728</v>
      </c>
      <c r="AY218" s="3">
        <v>70.848792703252997</v>
      </c>
      <c r="AZ218" s="3" t="s">
        <v>89</v>
      </c>
      <c r="BA218" s="3" t="s">
        <v>1197</v>
      </c>
      <c r="BC218" s="3" t="s">
        <v>1198</v>
      </c>
      <c r="BD218" s="8">
        <v>3</v>
      </c>
    </row>
    <row r="219" spans="1:56" ht="14.25" customHeight="1" thickBot="1">
      <c r="A219" s="3" t="s">
        <v>1199</v>
      </c>
      <c r="B219" s="3" t="s">
        <v>988</v>
      </c>
      <c r="C219" s="3" t="s">
        <v>989</v>
      </c>
      <c r="E219" s="3" t="s">
        <v>71</v>
      </c>
      <c r="F219" s="3">
        <f t="shared" si="0"/>
        <v>2</v>
      </c>
      <c r="G219" s="3" t="s">
        <v>72</v>
      </c>
      <c r="H219" s="3">
        <f t="shared" si="1"/>
        <v>2</v>
      </c>
      <c r="I219" s="3" t="s">
        <v>73</v>
      </c>
      <c r="J219" s="3" t="s">
        <v>74</v>
      </c>
      <c r="K219" s="3" t="s">
        <v>127</v>
      </c>
      <c r="M219" s="3" t="s">
        <v>97</v>
      </c>
      <c r="N219" s="3" t="s">
        <v>98</v>
      </c>
      <c r="O219" s="3" t="s">
        <v>78</v>
      </c>
      <c r="P219" s="3" t="s">
        <v>79</v>
      </c>
      <c r="Q219" s="3" t="s">
        <v>1200</v>
      </c>
      <c r="S219" s="18">
        <v>20.18</v>
      </c>
      <c r="T219" s="18">
        <v>-7.97</v>
      </c>
      <c r="U219" s="18">
        <v>-1.07</v>
      </c>
      <c r="V219" s="3" t="s">
        <v>114</v>
      </c>
      <c r="AB219" s="3">
        <v>64</v>
      </c>
      <c r="AC219" s="3" t="s">
        <v>81</v>
      </c>
      <c r="AD219" s="6">
        <v>40.712730000000001</v>
      </c>
      <c r="AE219" s="6">
        <v>-74.006015000000005</v>
      </c>
      <c r="AH219" s="3">
        <v>2007</v>
      </c>
      <c r="AI219" s="3">
        <v>2</v>
      </c>
      <c r="AJ219" s="8">
        <v>14</v>
      </c>
      <c r="AK219" s="3">
        <v>2007</v>
      </c>
      <c r="AL219" s="3">
        <v>2</v>
      </c>
      <c r="AM219" s="3">
        <v>15</v>
      </c>
      <c r="AN219" s="29">
        <v>16</v>
      </c>
      <c r="AU219" s="3">
        <v>100000</v>
      </c>
      <c r="AV219" s="3">
        <v>141146</v>
      </c>
      <c r="AW219" s="3">
        <v>140000</v>
      </c>
      <c r="AX219" s="3">
        <v>197604</v>
      </c>
      <c r="AY219" s="3">
        <v>70.848792703252997</v>
      </c>
      <c r="AZ219" s="3" t="s">
        <v>89</v>
      </c>
      <c r="BA219" s="3" t="s">
        <v>1201</v>
      </c>
      <c r="BC219" s="3" t="s">
        <v>1202</v>
      </c>
      <c r="BD219" s="8">
        <v>0</v>
      </c>
    </row>
    <row r="220" spans="1:56" ht="14.25" customHeight="1" thickBot="1">
      <c r="A220" s="3" t="s">
        <v>1203</v>
      </c>
      <c r="B220" s="3" t="s">
        <v>988</v>
      </c>
      <c r="C220" s="3" t="s">
        <v>1204</v>
      </c>
      <c r="E220" s="3" t="s">
        <v>71</v>
      </c>
      <c r="F220" s="3">
        <f t="shared" si="0"/>
        <v>2</v>
      </c>
      <c r="G220" s="3" t="s">
        <v>72</v>
      </c>
      <c r="H220" s="3">
        <f t="shared" si="1"/>
        <v>2</v>
      </c>
      <c r="I220" s="3" t="s">
        <v>73</v>
      </c>
      <c r="J220" s="3" t="s">
        <v>74</v>
      </c>
      <c r="K220" s="3" t="s">
        <v>75</v>
      </c>
      <c r="M220" s="3" t="s">
        <v>97</v>
      </c>
      <c r="N220" s="3" t="s">
        <v>98</v>
      </c>
      <c r="O220" s="3" t="s">
        <v>78</v>
      </c>
      <c r="P220" s="3" t="s">
        <v>79</v>
      </c>
      <c r="Q220" s="3" t="s">
        <v>444</v>
      </c>
      <c r="S220" s="18">
        <v>34.33</v>
      </c>
      <c r="T220" s="18">
        <v>19.43</v>
      </c>
      <c r="U220" s="18">
        <v>23.86</v>
      </c>
      <c r="V220" s="3" t="s">
        <v>95</v>
      </c>
      <c r="AB220" s="3">
        <v>240</v>
      </c>
      <c r="AC220" s="3" t="s">
        <v>81</v>
      </c>
      <c r="AD220" s="6">
        <v>29.615770000000001</v>
      </c>
      <c r="AE220" s="6">
        <v>-98.523132000000004</v>
      </c>
      <c r="AH220" s="3">
        <v>2007</v>
      </c>
      <c r="AI220" s="3">
        <v>4</v>
      </c>
      <c r="AJ220" s="8">
        <v>24</v>
      </c>
      <c r="AK220" s="3">
        <v>2007</v>
      </c>
      <c r="AL220" s="3">
        <v>4</v>
      </c>
      <c r="AM220" s="3">
        <v>26</v>
      </c>
      <c r="AN220" s="29">
        <v>10</v>
      </c>
      <c r="AO220" s="3">
        <v>80</v>
      </c>
      <c r="AQ220" s="3">
        <v>200</v>
      </c>
      <c r="AR220" s="3">
        <v>280</v>
      </c>
      <c r="AY220" s="3">
        <v>70.848792703252997</v>
      </c>
      <c r="AZ220" s="3" t="s">
        <v>89</v>
      </c>
      <c r="BA220" s="3" t="s">
        <v>446</v>
      </c>
      <c r="BC220" s="3" t="s">
        <v>447</v>
      </c>
      <c r="BD220" s="8">
        <v>3</v>
      </c>
    </row>
    <row r="221" spans="1:56" ht="14.25" customHeight="1" thickBot="1">
      <c r="A221" s="3" t="s">
        <v>1205</v>
      </c>
      <c r="B221" s="3" t="s">
        <v>988</v>
      </c>
      <c r="C221" s="3" t="s">
        <v>1206</v>
      </c>
      <c r="D221" s="3" t="s">
        <v>1207</v>
      </c>
      <c r="E221" s="3" t="s">
        <v>71</v>
      </c>
      <c r="F221" s="3">
        <f t="shared" si="0"/>
        <v>2</v>
      </c>
      <c r="G221" s="3" t="s">
        <v>72</v>
      </c>
      <c r="H221" s="3">
        <f t="shared" si="1"/>
        <v>2</v>
      </c>
      <c r="I221" s="3" t="s">
        <v>73</v>
      </c>
      <c r="J221" s="3" t="s">
        <v>74</v>
      </c>
      <c r="K221" s="3" t="s">
        <v>75</v>
      </c>
      <c r="M221" s="3" t="s">
        <v>97</v>
      </c>
      <c r="N221" s="3" t="s">
        <v>98</v>
      </c>
      <c r="O221" s="3" t="s">
        <v>78</v>
      </c>
      <c r="P221" s="3" t="s">
        <v>79</v>
      </c>
      <c r="Q221" s="3" t="s">
        <v>1208</v>
      </c>
      <c r="S221" s="18">
        <v>15.82</v>
      </c>
      <c r="T221" s="18">
        <v>14.92</v>
      </c>
      <c r="U221" s="18">
        <v>25.73</v>
      </c>
      <c r="Z221" s="3" t="s">
        <v>264</v>
      </c>
      <c r="AB221" s="3">
        <v>265</v>
      </c>
      <c r="AC221" s="3" t="s">
        <v>81</v>
      </c>
      <c r="AD221" s="6">
        <v>29.053339999999999</v>
      </c>
      <c r="AE221" s="6">
        <v>-81.131075999999993</v>
      </c>
      <c r="AH221" s="3">
        <v>2007</v>
      </c>
      <c r="AI221" s="3">
        <v>2</v>
      </c>
      <c r="AJ221" s="8">
        <v>2</v>
      </c>
      <c r="AK221" s="3">
        <v>2007</v>
      </c>
      <c r="AL221" s="3">
        <v>2</v>
      </c>
      <c r="AM221" s="3">
        <v>2</v>
      </c>
      <c r="AN221" s="29">
        <v>20</v>
      </c>
      <c r="AP221" s="3">
        <v>6600</v>
      </c>
      <c r="AR221" s="3">
        <v>6600</v>
      </c>
      <c r="AU221" s="3">
        <v>100000</v>
      </c>
      <c r="AV221" s="3">
        <v>141146</v>
      </c>
      <c r="AW221" s="3">
        <v>130000</v>
      </c>
      <c r="AX221" s="3">
        <v>183489</v>
      </c>
      <c r="AY221" s="3">
        <v>70.848792703252997</v>
      </c>
      <c r="AZ221" s="3" t="s">
        <v>82</v>
      </c>
      <c r="BB221" s="3" t="s">
        <v>1209</v>
      </c>
      <c r="BC221" s="3" t="s">
        <v>1210</v>
      </c>
      <c r="BD221" s="8">
        <v>4</v>
      </c>
    </row>
    <row r="222" spans="1:56" ht="14.25" customHeight="1" thickBot="1">
      <c r="A222" s="3" t="s">
        <v>1211</v>
      </c>
      <c r="B222" s="3" t="s">
        <v>988</v>
      </c>
      <c r="C222" s="3" t="s">
        <v>1212</v>
      </c>
      <c r="E222" s="3" t="s">
        <v>71</v>
      </c>
      <c r="F222" s="3">
        <f t="shared" si="0"/>
        <v>2</v>
      </c>
      <c r="G222" s="3" t="s">
        <v>72</v>
      </c>
      <c r="H222" s="3">
        <f t="shared" si="1"/>
        <v>2</v>
      </c>
      <c r="I222" s="3" t="s">
        <v>73</v>
      </c>
      <c r="J222" s="3" t="s">
        <v>74</v>
      </c>
      <c r="K222" s="3" t="s">
        <v>75</v>
      </c>
      <c r="M222" s="3" t="s">
        <v>97</v>
      </c>
      <c r="N222" s="3" t="s">
        <v>98</v>
      </c>
      <c r="O222" s="3" t="s">
        <v>78</v>
      </c>
      <c r="P222" s="3" t="s">
        <v>79</v>
      </c>
      <c r="Q222" s="3" t="s">
        <v>1213</v>
      </c>
      <c r="S222" s="18">
        <v>11.32</v>
      </c>
      <c r="T222" s="18">
        <v>9.3699999999999992</v>
      </c>
      <c r="U222" s="18">
        <v>21.44</v>
      </c>
      <c r="AC222" s="3" t="s">
        <v>81</v>
      </c>
      <c r="AD222" s="6">
        <v>33.258879999999998</v>
      </c>
      <c r="AE222" s="6">
        <v>-86.829533999999995</v>
      </c>
      <c r="AH222" s="3">
        <v>2007</v>
      </c>
      <c r="AI222" s="3">
        <v>3</v>
      </c>
      <c r="AJ222" s="8">
        <v>1</v>
      </c>
      <c r="AK222" s="3">
        <v>2007</v>
      </c>
      <c r="AL222" s="3">
        <v>3</v>
      </c>
      <c r="AM222" s="3">
        <v>2</v>
      </c>
      <c r="AN222" s="29">
        <v>20</v>
      </c>
      <c r="AO222" s="3">
        <v>20</v>
      </c>
      <c r="AR222" s="3">
        <v>20</v>
      </c>
      <c r="AU222" s="3">
        <v>450000</v>
      </c>
      <c r="AV222" s="3">
        <v>635155</v>
      </c>
      <c r="AW222" s="3">
        <v>600000</v>
      </c>
      <c r="AX222" s="3">
        <v>846874</v>
      </c>
      <c r="AY222" s="3">
        <v>70.848792703252997</v>
      </c>
      <c r="AZ222" s="3" t="s">
        <v>89</v>
      </c>
      <c r="BA222" s="3" t="s">
        <v>1214</v>
      </c>
      <c r="BC222" s="3" t="s">
        <v>1215</v>
      </c>
      <c r="BD222" s="8">
        <v>2</v>
      </c>
    </row>
    <row r="223" spans="1:56" ht="14.25" customHeight="1" thickBot="1">
      <c r="A223" s="3" t="s">
        <v>1216</v>
      </c>
      <c r="B223" s="3" t="s">
        <v>988</v>
      </c>
      <c r="C223" s="3" t="s">
        <v>1217</v>
      </c>
      <c r="E223" s="3" t="s">
        <v>71</v>
      </c>
      <c r="F223" s="3">
        <f t="shared" si="0"/>
        <v>1</v>
      </c>
      <c r="G223" s="3" t="s">
        <v>94</v>
      </c>
      <c r="H223" s="3">
        <f t="shared" si="1"/>
        <v>1</v>
      </c>
      <c r="I223" s="3" t="s">
        <v>95</v>
      </c>
      <c r="J223" s="3" t="s">
        <v>96</v>
      </c>
      <c r="M223" s="3" t="s">
        <v>97</v>
      </c>
      <c r="N223" s="3" t="s">
        <v>98</v>
      </c>
      <c r="O223" s="3" t="s">
        <v>78</v>
      </c>
      <c r="P223" s="3" t="s">
        <v>79</v>
      </c>
      <c r="Q223" s="3" t="s">
        <v>1218</v>
      </c>
      <c r="R223" s="3" t="s">
        <v>200</v>
      </c>
      <c r="S223" s="18">
        <v>17.809999999999999</v>
      </c>
      <c r="T223" s="18">
        <v>6.6</v>
      </c>
      <c r="U223" s="18">
        <v>13.35</v>
      </c>
      <c r="AB223" s="3">
        <v>434</v>
      </c>
      <c r="AC223" s="3" t="s">
        <v>102</v>
      </c>
      <c r="AD223" s="8">
        <v>34.880000000000003</v>
      </c>
      <c r="AE223" s="8">
        <v>-90.07</v>
      </c>
      <c r="AG223" s="3" t="s">
        <v>1219</v>
      </c>
      <c r="AH223" s="3">
        <v>2007</v>
      </c>
      <c r="AI223" s="3">
        <v>1</v>
      </c>
      <c r="AJ223" s="8">
        <v>15</v>
      </c>
      <c r="AK223" s="3">
        <v>2007</v>
      </c>
      <c r="AL223" s="3">
        <v>1</v>
      </c>
      <c r="AM223" s="3">
        <v>25</v>
      </c>
      <c r="AN223" s="29">
        <v>24</v>
      </c>
      <c r="AY223" s="3">
        <v>70.848792703252997</v>
      </c>
      <c r="AZ223" s="3" t="s">
        <v>89</v>
      </c>
      <c r="BA223" s="3" t="s">
        <v>1220</v>
      </c>
      <c r="BC223" s="3" t="s">
        <v>1221</v>
      </c>
      <c r="BD223" s="8">
        <v>0</v>
      </c>
    </row>
    <row r="224" spans="1:56" ht="14.25" customHeight="1" thickBot="1">
      <c r="A224" s="3" t="s">
        <v>1222</v>
      </c>
      <c r="B224" s="3" t="s">
        <v>988</v>
      </c>
      <c r="C224" s="3" t="s">
        <v>1223</v>
      </c>
      <c r="E224" s="3" t="s">
        <v>71</v>
      </c>
      <c r="F224" s="3">
        <f t="shared" si="0"/>
        <v>2</v>
      </c>
      <c r="G224" s="3" t="s">
        <v>72</v>
      </c>
      <c r="H224" s="3">
        <f t="shared" si="1"/>
        <v>2</v>
      </c>
      <c r="I224" s="3" t="s">
        <v>73</v>
      </c>
      <c r="M224" s="3" t="s">
        <v>76</v>
      </c>
      <c r="N224" s="3" t="s">
        <v>77</v>
      </c>
      <c r="O224" s="3" t="s">
        <v>78</v>
      </c>
      <c r="P224" s="3" t="s">
        <v>79</v>
      </c>
      <c r="Q224" s="3" t="s">
        <v>1224</v>
      </c>
      <c r="S224" s="18">
        <v>17.07</v>
      </c>
      <c r="T224" s="18">
        <v>-1.52</v>
      </c>
      <c r="U224" s="18">
        <v>8.32</v>
      </c>
      <c r="AC224" s="3" t="s">
        <v>81</v>
      </c>
      <c r="AD224" s="6">
        <v>43.653480000000002</v>
      </c>
      <c r="AE224" s="6">
        <v>-79.383934999999994</v>
      </c>
      <c r="AH224" s="3">
        <v>2007</v>
      </c>
      <c r="AI224" s="3">
        <v>12</v>
      </c>
      <c r="AJ224" s="8">
        <v>23</v>
      </c>
      <c r="AK224" s="3">
        <v>2007</v>
      </c>
      <c r="AL224" s="3">
        <v>12</v>
      </c>
      <c r="AM224" s="3">
        <v>26</v>
      </c>
      <c r="AN224" s="29">
        <v>4</v>
      </c>
      <c r="AY224" s="3">
        <v>70.848792703252997</v>
      </c>
      <c r="AZ224" s="3" t="s">
        <v>82</v>
      </c>
      <c r="BB224" s="3" t="s">
        <v>1225</v>
      </c>
      <c r="BC224" s="3" t="s">
        <v>1226</v>
      </c>
      <c r="BD224" s="8">
        <v>0</v>
      </c>
    </row>
    <row r="225" spans="1:56" ht="14.25" customHeight="1" thickBot="1">
      <c r="A225" s="3" t="s">
        <v>1227</v>
      </c>
      <c r="B225" s="3" t="s">
        <v>1228</v>
      </c>
      <c r="C225" s="3" t="s">
        <v>1229</v>
      </c>
      <c r="E225" s="3" t="s">
        <v>71</v>
      </c>
      <c r="F225" s="3">
        <f t="shared" si="0"/>
        <v>1</v>
      </c>
      <c r="G225" s="3" t="s">
        <v>94</v>
      </c>
      <c r="H225" s="3">
        <f t="shared" si="1"/>
        <v>1</v>
      </c>
      <c r="I225" s="3" t="s">
        <v>95</v>
      </c>
      <c r="J225" s="3" t="s">
        <v>96</v>
      </c>
      <c r="M225" s="3" t="s">
        <v>76</v>
      </c>
      <c r="N225" s="3" t="s">
        <v>77</v>
      </c>
      <c r="O225" s="3" t="s">
        <v>78</v>
      </c>
      <c r="P225" s="3" t="s">
        <v>79</v>
      </c>
      <c r="Q225" s="3" t="s">
        <v>1230</v>
      </c>
      <c r="S225" s="18">
        <v>9.4</v>
      </c>
      <c r="T225" s="18">
        <v>1.04</v>
      </c>
      <c r="U225" s="18">
        <v>9.35</v>
      </c>
      <c r="V225" s="3" t="s">
        <v>343</v>
      </c>
      <c r="AB225" s="3">
        <v>3180</v>
      </c>
      <c r="AC225" s="3" t="s">
        <v>102</v>
      </c>
      <c r="AD225" s="8">
        <v>52.15</v>
      </c>
      <c r="AE225" s="8">
        <v>-81.96</v>
      </c>
      <c r="AG225" s="3" t="s">
        <v>1231</v>
      </c>
      <c r="AH225" s="3">
        <v>2008</v>
      </c>
      <c r="AI225" s="3">
        <v>4</v>
      </c>
      <c r="AJ225" s="8">
        <v>26</v>
      </c>
      <c r="AK225" s="3">
        <v>2008</v>
      </c>
      <c r="AL225" s="3">
        <v>5</v>
      </c>
      <c r="AM225" s="3">
        <v>1</v>
      </c>
      <c r="AN225" s="29">
        <v>0</v>
      </c>
      <c r="AP225" s="3">
        <v>2000</v>
      </c>
      <c r="AR225" s="3">
        <v>2000</v>
      </c>
      <c r="AY225" s="3">
        <v>73.568745535504604</v>
      </c>
      <c r="AZ225" s="3" t="s">
        <v>82</v>
      </c>
      <c r="BB225" s="3" t="s">
        <v>1232</v>
      </c>
      <c r="BC225" s="3" t="s">
        <v>1233</v>
      </c>
      <c r="BD225" s="8">
        <v>4</v>
      </c>
    </row>
    <row r="226" spans="1:56" ht="14.25" customHeight="1" thickBot="1">
      <c r="A226" s="3" t="s">
        <v>1234</v>
      </c>
      <c r="B226" s="3" t="s">
        <v>1228</v>
      </c>
      <c r="C226" s="3" t="s">
        <v>1235</v>
      </c>
      <c r="E226" s="3" t="s">
        <v>71</v>
      </c>
      <c r="F226" s="3">
        <f t="shared" si="0"/>
        <v>1</v>
      </c>
      <c r="G226" s="3" t="s">
        <v>94</v>
      </c>
      <c r="H226" s="3">
        <f t="shared" si="1"/>
        <v>1</v>
      </c>
      <c r="I226" s="3" t="s">
        <v>95</v>
      </c>
      <c r="J226" s="3" t="s">
        <v>96</v>
      </c>
      <c r="M226" s="3" t="s">
        <v>76</v>
      </c>
      <c r="N226" s="3" t="s">
        <v>77</v>
      </c>
      <c r="O226" s="3" t="s">
        <v>78</v>
      </c>
      <c r="P226" s="3" t="s">
        <v>79</v>
      </c>
      <c r="Q226" s="3" t="s">
        <v>1236</v>
      </c>
      <c r="R226" s="3" t="s">
        <v>438</v>
      </c>
      <c r="S226" s="18">
        <v>2.69</v>
      </c>
      <c r="T226" s="18">
        <v>0.8</v>
      </c>
      <c r="U226" s="18">
        <v>10.66</v>
      </c>
      <c r="AB226" s="3">
        <v>22900</v>
      </c>
      <c r="AC226" s="3" t="s">
        <v>102</v>
      </c>
      <c r="AD226" s="8">
        <v>44.46</v>
      </c>
      <c r="AE226" s="8">
        <v>-77.47</v>
      </c>
      <c r="AG226" s="3" t="s">
        <v>1237</v>
      </c>
      <c r="AH226" s="3">
        <v>2008</v>
      </c>
      <c r="AI226" s="3">
        <v>4</v>
      </c>
      <c r="AJ226" s="8">
        <v>10</v>
      </c>
      <c r="AK226" s="3">
        <v>2008</v>
      </c>
      <c r="AL226" s="3">
        <v>4</v>
      </c>
      <c r="AM226" s="3">
        <v>24</v>
      </c>
      <c r="AN226" s="29">
        <v>0</v>
      </c>
      <c r="AP226" s="3">
        <v>400</v>
      </c>
      <c r="AR226" s="3">
        <v>400</v>
      </c>
      <c r="AY226" s="3">
        <v>73.568745535504604</v>
      </c>
      <c r="AZ226" s="3" t="s">
        <v>82</v>
      </c>
      <c r="BB226" s="3" t="s">
        <v>1238</v>
      </c>
      <c r="BC226" s="3" t="s">
        <v>1239</v>
      </c>
      <c r="BD226" s="8">
        <v>3</v>
      </c>
    </row>
    <row r="227" spans="1:56" ht="14.25" customHeight="1" thickBot="1">
      <c r="A227" s="3" t="s">
        <v>1240</v>
      </c>
      <c r="B227" s="3" t="s">
        <v>1241</v>
      </c>
      <c r="C227" s="3" t="s">
        <v>1242</v>
      </c>
      <c r="E227" s="3" t="s">
        <v>71</v>
      </c>
      <c r="F227" s="3">
        <f t="shared" si="0"/>
        <v>1</v>
      </c>
      <c r="G227" s="3" t="s">
        <v>94</v>
      </c>
      <c r="H227" s="3">
        <f t="shared" si="1"/>
        <v>1</v>
      </c>
      <c r="I227" s="3" t="s">
        <v>95</v>
      </c>
      <c r="J227" s="3" t="s">
        <v>96</v>
      </c>
      <c r="M227" s="3" t="s">
        <v>76</v>
      </c>
      <c r="N227" s="3" t="s">
        <v>77</v>
      </c>
      <c r="O227" s="3" t="s">
        <v>78</v>
      </c>
      <c r="P227" s="3" t="s">
        <v>79</v>
      </c>
      <c r="Q227" s="3" t="s">
        <v>1243</v>
      </c>
      <c r="R227" s="3" t="s">
        <v>1244</v>
      </c>
      <c r="S227" s="18">
        <v>0</v>
      </c>
      <c r="T227" s="18">
        <v>-8.0399999999999991</v>
      </c>
      <c r="U227" s="18">
        <v>3.5</v>
      </c>
      <c r="AB227" s="3">
        <v>20490</v>
      </c>
      <c r="AC227" s="3" t="s">
        <v>102</v>
      </c>
      <c r="AD227" s="8">
        <v>47.16</v>
      </c>
      <c r="AE227" s="8">
        <v>-67.63</v>
      </c>
      <c r="AH227" s="3">
        <v>2009</v>
      </c>
      <c r="AI227" s="3">
        <v>4</v>
      </c>
      <c r="AJ227" s="8">
        <v>1</v>
      </c>
      <c r="AK227" s="3">
        <v>2009</v>
      </c>
      <c r="AL227" s="3">
        <v>4</v>
      </c>
      <c r="AM227" s="3">
        <v>9</v>
      </c>
      <c r="AN227" s="29">
        <v>0</v>
      </c>
      <c r="AP227" s="3">
        <v>200</v>
      </c>
      <c r="AR227" s="3">
        <v>200</v>
      </c>
      <c r="AY227" s="3">
        <v>73.307176721938703</v>
      </c>
      <c r="AZ227" s="3" t="s">
        <v>89</v>
      </c>
      <c r="BA227" s="3" t="s">
        <v>1245</v>
      </c>
      <c r="BC227" s="3" t="s">
        <v>1246</v>
      </c>
      <c r="BD227" s="8">
        <v>3</v>
      </c>
    </row>
    <row r="228" spans="1:56" ht="14.25" customHeight="1" thickBot="1">
      <c r="A228" s="3" t="s">
        <v>1247</v>
      </c>
      <c r="B228" s="3" t="s">
        <v>988</v>
      </c>
      <c r="C228" s="3" t="s">
        <v>949</v>
      </c>
      <c r="E228" s="3" t="s">
        <v>71</v>
      </c>
      <c r="F228" s="3">
        <f t="shared" si="0"/>
        <v>1</v>
      </c>
      <c r="G228" s="3" t="s">
        <v>94</v>
      </c>
      <c r="H228" s="3">
        <f t="shared" si="1"/>
        <v>1</v>
      </c>
      <c r="I228" s="3" t="s">
        <v>95</v>
      </c>
      <c r="J228" s="3" t="s">
        <v>96</v>
      </c>
      <c r="M228" s="3" t="s">
        <v>97</v>
      </c>
      <c r="N228" s="3" t="s">
        <v>98</v>
      </c>
      <c r="O228" s="3" t="s">
        <v>78</v>
      </c>
      <c r="P228" s="3" t="s">
        <v>79</v>
      </c>
      <c r="Q228" s="3" t="s">
        <v>1248</v>
      </c>
      <c r="R228" s="3" t="s">
        <v>200</v>
      </c>
      <c r="S228" s="18">
        <v>0</v>
      </c>
      <c r="T228" s="18">
        <v>22.86</v>
      </c>
      <c r="U228" s="18">
        <v>37.409999999999997</v>
      </c>
      <c r="V228" s="3" t="s">
        <v>683</v>
      </c>
      <c r="W228" s="3" t="s">
        <v>101</v>
      </c>
      <c r="AB228" s="3">
        <v>1217000</v>
      </c>
      <c r="AC228" s="3" t="s">
        <v>102</v>
      </c>
      <c r="AD228" s="8">
        <v>36.86</v>
      </c>
      <c r="AE228" s="8">
        <v>-94.64</v>
      </c>
      <c r="AH228" s="3">
        <v>2007</v>
      </c>
      <c r="AI228" s="3">
        <v>8</v>
      </c>
      <c r="AJ228" s="8">
        <v>16</v>
      </c>
      <c r="AK228" s="3">
        <v>2007</v>
      </c>
      <c r="AL228" s="3">
        <v>8</v>
      </c>
      <c r="AM228" s="3">
        <v>27</v>
      </c>
      <c r="AN228" s="29">
        <v>26</v>
      </c>
      <c r="AO228" s="3">
        <v>40</v>
      </c>
      <c r="AP228" s="3">
        <v>2800</v>
      </c>
      <c r="AR228" s="3">
        <v>2840</v>
      </c>
      <c r="AU228" s="3">
        <v>450000</v>
      </c>
      <c r="AV228" s="3">
        <v>635155</v>
      </c>
      <c r="AW228" s="3">
        <v>700000</v>
      </c>
      <c r="AX228" s="3">
        <v>988020</v>
      </c>
      <c r="AY228" s="3">
        <v>70.848792703252997</v>
      </c>
      <c r="AZ228" s="3" t="s">
        <v>89</v>
      </c>
      <c r="BA228" s="3" t="s">
        <v>1249</v>
      </c>
      <c r="BC228" s="3" t="s">
        <v>1250</v>
      </c>
      <c r="BD228" s="8">
        <v>4</v>
      </c>
    </row>
    <row r="229" spans="1:56" ht="14.25" customHeight="1" thickBot="1">
      <c r="A229" s="3" t="s">
        <v>1251</v>
      </c>
      <c r="B229" s="3" t="s">
        <v>988</v>
      </c>
      <c r="C229" s="3" t="s">
        <v>1252</v>
      </c>
      <c r="E229" s="3" t="s">
        <v>71</v>
      </c>
      <c r="F229" s="3">
        <f t="shared" si="0"/>
        <v>2</v>
      </c>
      <c r="G229" s="3" t="s">
        <v>72</v>
      </c>
      <c r="H229" s="3">
        <f t="shared" si="1"/>
        <v>2</v>
      </c>
      <c r="I229" s="3" t="s">
        <v>73</v>
      </c>
      <c r="M229" s="3" t="s">
        <v>97</v>
      </c>
      <c r="N229" s="3" t="s">
        <v>98</v>
      </c>
      <c r="O229" s="3" t="s">
        <v>78</v>
      </c>
      <c r="P229" s="3" t="s">
        <v>79</v>
      </c>
      <c r="Q229" s="3" t="s">
        <v>1162</v>
      </c>
      <c r="S229" s="18">
        <v>79.14</v>
      </c>
      <c r="T229" s="18">
        <v>7.15</v>
      </c>
      <c r="U229" s="18">
        <v>14.69</v>
      </c>
      <c r="V229" s="3" t="s">
        <v>95</v>
      </c>
      <c r="W229" s="3" t="s">
        <v>101</v>
      </c>
      <c r="Z229" s="3" t="s">
        <v>264</v>
      </c>
      <c r="AB229" s="3">
        <v>160</v>
      </c>
      <c r="AC229" s="3" t="s">
        <v>81</v>
      </c>
      <c r="AD229" s="8">
        <v>47.09</v>
      </c>
      <c r="AE229" s="8">
        <v>-122.91</v>
      </c>
      <c r="AH229" s="3">
        <v>2007</v>
      </c>
      <c r="AI229" s="3">
        <v>12</v>
      </c>
      <c r="AJ229" s="8">
        <v>3</v>
      </c>
      <c r="AK229" s="3">
        <v>2007</v>
      </c>
      <c r="AL229" s="3">
        <v>12</v>
      </c>
      <c r="AM229" s="3">
        <v>7</v>
      </c>
      <c r="AN229" s="29">
        <v>17</v>
      </c>
      <c r="AO229" s="3">
        <v>28</v>
      </c>
      <c r="AP229" s="3">
        <v>1100</v>
      </c>
      <c r="AR229" s="3">
        <v>1128</v>
      </c>
      <c r="AU229" s="3">
        <v>200000</v>
      </c>
      <c r="AV229" s="3">
        <v>282291</v>
      </c>
      <c r="AW229" s="3">
        <v>1000000</v>
      </c>
      <c r="AX229" s="3">
        <v>1411457</v>
      </c>
      <c r="AY229" s="3">
        <v>70.848792703252997</v>
      </c>
      <c r="AZ229" s="3" t="s">
        <v>89</v>
      </c>
      <c r="BA229" s="3" t="s">
        <v>1164</v>
      </c>
      <c r="BC229" s="3" t="s">
        <v>1165</v>
      </c>
      <c r="BD229" s="8">
        <v>4</v>
      </c>
    </row>
    <row r="230" spans="1:56" ht="14.25" customHeight="1" thickBot="1">
      <c r="A230" s="3" t="s">
        <v>1253</v>
      </c>
      <c r="B230" s="3" t="s">
        <v>988</v>
      </c>
      <c r="C230" s="3" t="s">
        <v>1182</v>
      </c>
      <c r="E230" s="3" t="s">
        <v>71</v>
      </c>
      <c r="F230" s="3">
        <f t="shared" si="0"/>
        <v>2</v>
      </c>
      <c r="G230" s="3" t="s">
        <v>72</v>
      </c>
      <c r="H230" s="3">
        <f t="shared" si="1"/>
        <v>2</v>
      </c>
      <c r="I230" s="3" t="s">
        <v>73</v>
      </c>
      <c r="J230" s="3" t="s">
        <v>74</v>
      </c>
      <c r="K230" s="3" t="s">
        <v>75</v>
      </c>
      <c r="M230" s="3" t="s">
        <v>97</v>
      </c>
      <c r="N230" s="3" t="s">
        <v>98</v>
      </c>
      <c r="O230" s="3" t="s">
        <v>78</v>
      </c>
      <c r="P230" s="3" t="s">
        <v>79</v>
      </c>
      <c r="Q230" s="3" t="s">
        <v>1254</v>
      </c>
      <c r="S230" s="18">
        <v>0.99</v>
      </c>
      <c r="T230" s="18">
        <v>-0.34</v>
      </c>
      <c r="U230" s="18">
        <v>9.27</v>
      </c>
      <c r="V230" s="3" t="s">
        <v>95</v>
      </c>
      <c r="W230" s="3" t="s">
        <v>355</v>
      </c>
      <c r="AC230" s="3" t="s">
        <v>81</v>
      </c>
      <c r="AD230" s="6">
        <v>38.725180000000002</v>
      </c>
      <c r="AE230" s="6">
        <v>-105.607716</v>
      </c>
      <c r="AH230" s="3">
        <v>2007</v>
      </c>
      <c r="AI230" s="3">
        <v>5</v>
      </c>
      <c r="AJ230" s="8">
        <v>4</v>
      </c>
      <c r="AK230" s="3">
        <v>2007</v>
      </c>
      <c r="AL230" s="3">
        <v>5</v>
      </c>
      <c r="AM230" s="3">
        <v>8</v>
      </c>
      <c r="AN230" s="29">
        <v>12</v>
      </c>
      <c r="AO230" s="3">
        <v>40</v>
      </c>
      <c r="AR230" s="3">
        <v>40</v>
      </c>
      <c r="AU230" s="3">
        <v>200000</v>
      </c>
      <c r="AV230" s="3">
        <v>282291</v>
      </c>
      <c r="AW230" s="3">
        <v>350000</v>
      </c>
      <c r="AX230" s="3">
        <v>494010</v>
      </c>
      <c r="AY230" s="3">
        <v>70.848792703252997</v>
      </c>
      <c r="AZ230" s="3" t="s">
        <v>89</v>
      </c>
      <c r="BA230" s="3" t="s">
        <v>1255</v>
      </c>
      <c r="BC230" s="3" t="s">
        <v>1256</v>
      </c>
      <c r="BD230" s="8">
        <v>2</v>
      </c>
    </row>
    <row r="231" spans="1:56" ht="14.25" customHeight="1" thickBot="1">
      <c r="A231" s="3" t="s">
        <v>1257</v>
      </c>
      <c r="B231" s="3" t="s">
        <v>988</v>
      </c>
      <c r="C231" s="3" t="s">
        <v>771</v>
      </c>
      <c r="E231" s="3" t="s">
        <v>71</v>
      </c>
      <c r="F231" s="3">
        <f t="shared" si="0"/>
        <v>2</v>
      </c>
      <c r="G231" s="3" t="s">
        <v>72</v>
      </c>
      <c r="H231" s="3">
        <f t="shared" si="1"/>
        <v>2</v>
      </c>
      <c r="I231" s="3" t="s">
        <v>73</v>
      </c>
      <c r="M231" s="3" t="s">
        <v>97</v>
      </c>
      <c r="N231" s="3" t="s">
        <v>98</v>
      </c>
      <c r="O231" s="3" t="s">
        <v>78</v>
      </c>
      <c r="P231" s="3" t="s">
        <v>79</v>
      </c>
      <c r="Q231" s="3" t="s">
        <v>1258</v>
      </c>
      <c r="S231" s="18">
        <v>7.97</v>
      </c>
      <c r="T231" s="18">
        <v>12.47</v>
      </c>
      <c r="U231" s="18">
        <v>28.52</v>
      </c>
      <c r="V231" s="3" t="s">
        <v>95</v>
      </c>
      <c r="W231" s="3" t="s">
        <v>355</v>
      </c>
      <c r="AB231" s="3">
        <v>1300</v>
      </c>
      <c r="AC231" s="3" t="s">
        <v>81</v>
      </c>
      <c r="AD231" s="6">
        <v>29.615770000000001</v>
      </c>
      <c r="AE231" s="6">
        <v>-98.523132000000004</v>
      </c>
      <c r="AH231" s="3">
        <v>2007</v>
      </c>
      <c r="AI231" s="3">
        <v>4</v>
      </c>
      <c r="AJ231" s="8">
        <v>13</v>
      </c>
      <c r="AK231" s="3">
        <v>2007</v>
      </c>
      <c r="AL231" s="3">
        <v>4</v>
      </c>
      <c r="AM231" s="3">
        <v>17</v>
      </c>
      <c r="AN231" s="29">
        <v>23</v>
      </c>
      <c r="AU231" s="3">
        <v>1566000</v>
      </c>
      <c r="AV231" s="3">
        <v>2210341</v>
      </c>
      <c r="AW231" s="3">
        <v>2000000</v>
      </c>
      <c r="AX231" s="3">
        <v>2822913</v>
      </c>
      <c r="AY231" s="3">
        <v>70.848792703252997</v>
      </c>
      <c r="AZ231" s="3" t="s">
        <v>89</v>
      </c>
      <c r="BA231" s="3" t="s">
        <v>1259</v>
      </c>
      <c r="BC231" s="3" t="s">
        <v>1260</v>
      </c>
      <c r="BD231" s="8">
        <v>0</v>
      </c>
    </row>
    <row r="232" spans="1:56" ht="14.25" customHeight="1" thickBot="1">
      <c r="A232" s="3" t="s">
        <v>1261</v>
      </c>
      <c r="B232" s="3" t="s">
        <v>988</v>
      </c>
      <c r="C232" s="3" t="s">
        <v>1262</v>
      </c>
      <c r="E232" s="3" t="s">
        <v>71</v>
      </c>
      <c r="F232" s="3">
        <f t="shared" si="0"/>
        <v>1</v>
      </c>
      <c r="G232" s="3" t="s">
        <v>94</v>
      </c>
      <c r="H232" s="3">
        <f t="shared" si="1"/>
        <v>1</v>
      </c>
      <c r="I232" s="3" t="s">
        <v>95</v>
      </c>
      <c r="J232" s="3" t="s">
        <v>96</v>
      </c>
      <c r="M232" s="3" t="s">
        <v>97</v>
      </c>
      <c r="N232" s="3" t="s">
        <v>98</v>
      </c>
      <c r="O232" s="3" t="s">
        <v>78</v>
      </c>
      <c r="P232" s="3" t="s">
        <v>79</v>
      </c>
      <c r="Q232" s="3" t="s">
        <v>1263</v>
      </c>
      <c r="R232" s="3" t="s">
        <v>100</v>
      </c>
      <c r="S232" s="18">
        <v>80.3</v>
      </c>
      <c r="T232" s="18">
        <v>21</v>
      </c>
      <c r="U232" s="18">
        <v>29.69</v>
      </c>
      <c r="W232" s="3" t="s">
        <v>683</v>
      </c>
      <c r="AB232" s="3">
        <v>507800</v>
      </c>
      <c r="AC232" s="3" t="s">
        <v>102</v>
      </c>
      <c r="AD232" s="8">
        <v>32.840000000000003</v>
      </c>
      <c r="AE232" s="8">
        <v>-97.17</v>
      </c>
      <c r="AG232" s="3" t="s">
        <v>1264</v>
      </c>
      <c r="AH232" s="3">
        <v>2007</v>
      </c>
      <c r="AI232" s="3">
        <v>6</v>
      </c>
      <c r="AJ232" s="8">
        <v>26</v>
      </c>
      <c r="AK232" s="3">
        <v>2007</v>
      </c>
      <c r="AL232" s="3">
        <v>7</v>
      </c>
      <c r="AM232" s="3">
        <v>6</v>
      </c>
      <c r="AN232" s="29">
        <v>8</v>
      </c>
      <c r="AP232" s="3">
        <v>5000</v>
      </c>
      <c r="AR232" s="3">
        <v>5000</v>
      </c>
      <c r="AY232" s="3">
        <v>70.848792703252997</v>
      </c>
      <c r="AZ232" s="3" t="s">
        <v>82</v>
      </c>
      <c r="BB232" s="3" t="s">
        <v>1265</v>
      </c>
      <c r="BC232" s="3" t="s">
        <v>1266</v>
      </c>
      <c r="BD232" s="8">
        <v>4</v>
      </c>
    </row>
    <row r="233" spans="1:56" ht="14.25" customHeight="1" thickBot="1">
      <c r="A233" s="3" t="s">
        <v>1267</v>
      </c>
      <c r="B233" s="3" t="s">
        <v>988</v>
      </c>
      <c r="C233" s="3" t="s">
        <v>1268</v>
      </c>
      <c r="E233" s="3" t="s">
        <v>71</v>
      </c>
      <c r="F233" s="3">
        <f t="shared" si="0"/>
        <v>2</v>
      </c>
      <c r="G233" s="3" t="s">
        <v>72</v>
      </c>
      <c r="H233" s="3">
        <f t="shared" si="1"/>
        <v>2</v>
      </c>
      <c r="I233" s="3" t="s">
        <v>73</v>
      </c>
      <c r="M233" s="3" t="s">
        <v>97</v>
      </c>
      <c r="N233" s="3" t="s">
        <v>98</v>
      </c>
      <c r="O233" s="3" t="s">
        <v>78</v>
      </c>
      <c r="P233" s="3" t="s">
        <v>79</v>
      </c>
      <c r="Q233" s="3" t="s">
        <v>1269</v>
      </c>
      <c r="S233" s="18">
        <v>0</v>
      </c>
      <c r="T233" s="18">
        <v>15.81</v>
      </c>
      <c r="U233" s="18">
        <v>27.78</v>
      </c>
      <c r="V233" s="3" t="s">
        <v>355</v>
      </c>
      <c r="AB233" s="3">
        <v>128</v>
      </c>
      <c r="AC233" s="3" t="s">
        <v>81</v>
      </c>
      <c r="AD233" s="10">
        <v>41.907769999999999</v>
      </c>
      <c r="AE233" s="11">
        <v>-93.432418999999996</v>
      </c>
      <c r="AH233" s="3">
        <v>2007</v>
      </c>
      <c r="AI233" s="3">
        <v>5</v>
      </c>
      <c r="AJ233" s="8">
        <v>21</v>
      </c>
      <c r="AK233" s="3">
        <v>2007</v>
      </c>
      <c r="AL233" s="3">
        <v>5</v>
      </c>
      <c r="AM233" s="3">
        <v>25</v>
      </c>
      <c r="AN233" s="29">
        <v>5</v>
      </c>
      <c r="AU233" s="3">
        <v>200000</v>
      </c>
      <c r="AV233" s="3">
        <v>282291</v>
      </c>
      <c r="AW233" s="3">
        <v>300000</v>
      </c>
      <c r="AX233" s="3">
        <v>423437</v>
      </c>
      <c r="AY233" s="3">
        <v>70.848792703252997</v>
      </c>
      <c r="AZ233" s="3" t="s">
        <v>89</v>
      </c>
      <c r="BA233" s="3" t="s">
        <v>1270</v>
      </c>
      <c r="BC233" s="3" t="s">
        <v>1271</v>
      </c>
      <c r="BD233" s="8">
        <v>0</v>
      </c>
    </row>
    <row r="234" spans="1:56" ht="14.25" customHeight="1" thickBot="1">
      <c r="A234" s="3" t="s">
        <v>1272</v>
      </c>
      <c r="B234" s="3" t="s">
        <v>988</v>
      </c>
      <c r="C234" s="3" t="s">
        <v>1273</v>
      </c>
      <c r="E234" s="3" t="s">
        <v>71</v>
      </c>
      <c r="F234" s="3">
        <f t="shared" si="0"/>
        <v>1</v>
      </c>
      <c r="G234" s="3" t="s">
        <v>94</v>
      </c>
      <c r="H234" s="3">
        <f t="shared" si="1"/>
        <v>1</v>
      </c>
      <c r="I234" s="3" t="s">
        <v>95</v>
      </c>
      <c r="J234" s="3" t="s">
        <v>185</v>
      </c>
      <c r="M234" s="3" t="s">
        <v>97</v>
      </c>
      <c r="N234" s="3" t="s">
        <v>98</v>
      </c>
      <c r="O234" s="3" t="s">
        <v>78</v>
      </c>
      <c r="P234" s="3" t="s">
        <v>79</v>
      </c>
      <c r="Q234" s="3" t="s">
        <v>1173</v>
      </c>
      <c r="R234" s="3" t="s">
        <v>187</v>
      </c>
      <c r="S234" s="18">
        <v>32.56</v>
      </c>
      <c r="T234" s="18">
        <v>13.36</v>
      </c>
      <c r="U234" s="18">
        <v>28.14</v>
      </c>
      <c r="V234" s="3" t="s">
        <v>683</v>
      </c>
      <c r="AB234" s="3">
        <v>6500</v>
      </c>
      <c r="AC234" s="3" t="s">
        <v>102</v>
      </c>
      <c r="AD234" s="8">
        <v>42.23</v>
      </c>
      <c r="AE234" s="8">
        <v>-74.95</v>
      </c>
      <c r="AG234" s="3" t="s">
        <v>1274</v>
      </c>
      <c r="AH234" s="3">
        <v>2007</v>
      </c>
      <c r="AI234" s="3">
        <v>6</v>
      </c>
      <c r="AJ234" s="8">
        <v>19</v>
      </c>
      <c r="AK234" s="3">
        <v>2007</v>
      </c>
      <c r="AL234" s="3">
        <v>6</v>
      </c>
      <c r="AM234" s="3">
        <v>20</v>
      </c>
      <c r="AN234" s="29">
        <v>4</v>
      </c>
      <c r="AP234" s="3">
        <v>120</v>
      </c>
      <c r="AR234" s="3">
        <v>120</v>
      </c>
      <c r="AY234" s="3">
        <v>70.848792703252997</v>
      </c>
      <c r="AZ234" s="3" t="s">
        <v>89</v>
      </c>
      <c r="BA234" s="3" t="s">
        <v>1174</v>
      </c>
      <c r="BC234" s="3" t="s">
        <v>1175</v>
      </c>
      <c r="BD234" s="8">
        <v>3</v>
      </c>
    </row>
    <row r="235" spans="1:56" ht="14.25" customHeight="1" thickBot="1">
      <c r="A235" s="3" t="s">
        <v>1275</v>
      </c>
      <c r="B235" s="3" t="s">
        <v>988</v>
      </c>
      <c r="C235" s="3" t="s">
        <v>1276</v>
      </c>
      <c r="E235" s="3" t="s">
        <v>71</v>
      </c>
      <c r="F235" s="3">
        <f t="shared" si="0"/>
        <v>3</v>
      </c>
      <c r="G235" s="3" t="s">
        <v>119</v>
      </c>
      <c r="H235" s="3">
        <f t="shared" si="1"/>
        <v>3</v>
      </c>
      <c r="I235" s="3" t="s">
        <v>122</v>
      </c>
      <c r="J235" s="3" t="s">
        <v>600</v>
      </c>
      <c r="M235" s="3" t="s">
        <v>97</v>
      </c>
      <c r="N235" s="3" t="s">
        <v>98</v>
      </c>
      <c r="O235" s="3" t="s">
        <v>78</v>
      </c>
      <c r="P235" s="3" t="s">
        <v>79</v>
      </c>
      <c r="Q235" s="3" t="s">
        <v>1277</v>
      </c>
      <c r="S235" s="18">
        <v>0</v>
      </c>
      <c r="T235" s="18">
        <v>13.88</v>
      </c>
      <c r="U235" s="18">
        <v>29.46</v>
      </c>
      <c r="V235" s="3" t="s">
        <v>73</v>
      </c>
      <c r="Z235" s="3" t="s">
        <v>264</v>
      </c>
      <c r="AC235" s="3" t="s">
        <v>102</v>
      </c>
      <c r="AD235" s="10">
        <v>34.018009999999997</v>
      </c>
      <c r="AE235" s="11">
        <v>-118.252684</v>
      </c>
      <c r="AH235" s="3">
        <v>2007</v>
      </c>
      <c r="AI235" s="3">
        <v>10</v>
      </c>
      <c r="AJ235" s="8">
        <v>21</v>
      </c>
      <c r="AK235" s="3">
        <v>2007</v>
      </c>
      <c r="AL235" s="3">
        <v>10</v>
      </c>
      <c r="AM235" s="3">
        <v>24</v>
      </c>
      <c r="AN235" s="29">
        <v>8</v>
      </c>
      <c r="AO235" s="3">
        <v>64</v>
      </c>
      <c r="AP235" s="3">
        <v>640000</v>
      </c>
      <c r="AR235" s="3">
        <v>640064</v>
      </c>
      <c r="AU235" s="3">
        <v>1900000</v>
      </c>
      <c r="AV235" s="3">
        <v>2681768</v>
      </c>
      <c r="AW235" s="3">
        <v>2500000</v>
      </c>
      <c r="AX235" s="3">
        <v>3528642</v>
      </c>
      <c r="AY235" s="3">
        <v>70.848792703252997</v>
      </c>
      <c r="AZ235" s="3" t="s">
        <v>82</v>
      </c>
      <c r="BB235" s="3" t="s">
        <v>1278</v>
      </c>
      <c r="BC235" s="3" t="s">
        <v>1279</v>
      </c>
      <c r="BD235" s="8">
        <v>6</v>
      </c>
    </row>
    <row r="236" spans="1:56" ht="14.25" customHeight="1" thickBot="1">
      <c r="A236" s="3" t="s">
        <v>1280</v>
      </c>
      <c r="B236" s="3" t="s">
        <v>988</v>
      </c>
      <c r="C236" s="3" t="s">
        <v>1281</v>
      </c>
      <c r="E236" s="3" t="s">
        <v>71</v>
      </c>
      <c r="F236" s="3">
        <f t="shared" si="0"/>
        <v>2</v>
      </c>
      <c r="G236" s="3" t="s">
        <v>72</v>
      </c>
      <c r="H236" s="3">
        <f t="shared" si="1"/>
        <v>2</v>
      </c>
      <c r="I236" s="3" t="s">
        <v>73</v>
      </c>
      <c r="M236" s="3" t="s">
        <v>97</v>
      </c>
      <c r="N236" s="3" t="s">
        <v>98</v>
      </c>
      <c r="O236" s="3" t="s">
        <v>78</v>
      </c>
      <c r="P236" s="3" t="s">
        <v>79</v>
      </c>
      <c r="Q236" s="3" t="s">
        <v>1282</v>
      </c>
      <c r="S236" s="18">
        <v>0</v>
      </c>
      <c r="T236" s="18">
        <v>7.18</v>
      </c>
      <c r="U236" s="18">
        <v>20.93</v>
      </c>
      <c r="V236" s="3" t="s">
        <v>114</v>
      </c>
      <c r="AC236" s="3" t="s">
        <v>81</v>
      </c>
      <c r="AD236" s="6">
        <v>31.26389</v>
      </c>
      <c r="AE236" s="6">
        <v>-98.545612000000006</v>
      </c>
      <c r="AH236" s="3">
        <v>2007</v>
      </c>
      <c r="AI236" s="3">
        <v>2</v>
      </c>
      <c r="AJ236" s="8">
        <v>23</v>
      </c>
      <c r="AK236" s="3">
        <v>2007</v>
      </c>
      <c r="AL236" s="3">
        <v>2</v>
      </c>
      <c r="AM236" s="3">
        <v>25</v>
      </c>
      <c r="AN236" s="29">
        <v>4</v>
      </c>
      <c r="AO236" s="3">
        <v>27</v>
      </c>
      <c r="AR236" s="3">
        <v>27</v>
      </c>
      <c r="AU236" s="3">
        <v>200000</v>
      </c>
      <c r="AV236" s="3">
        <v>282291</v>
      </c>
      <c r="AW236" s="3">
        <v>300000</v>
      </c>
      <c r="AX236" s="3">
        <v>423437</v>
      </c>
      <c r="AY236" s="3">
        <v>70.848792703252997</v>
      </c>
      <c r="AZ236" s="3" t="s">
        <v>89</v>
      </c>
      <c r="BA236" s="3" t="s">
        <v>1283</v>
      </c>
      <c r="BC236" s="3" t="s">
        <v>1284</v>
      </c>
      <c r="BD236" s="8">
        <v>2</v>
      </c>
    </row>
    <row r="237" spans="1:56" ht="14.25" customHeight="1" thickBot="1">
      <c r="A237" s="3" t="s">
        <v>1285</v>
      </c>
      <c r="B237" s="3" t="s">
        <v>988</v>
      </c>
      <c r="C237" s="3" t="s">
        <v>1286</v>
      </c>
      <c r="D237" s="3" t="s">
        <v>1287</v>
      </c>
      <c r="E237" s="3" t="s">
        <v>71</v>
      </c>
      <c r="F237" s="3">
        <f t="shared" si="0"/>
        <v>2</v>
      </c>
      <c r="G237" s="3" t="s">
        <v>72</v>
      </c>
      <c r="H237" s="3">
        <f t="shared" si="1"/>
        <v>2</v>
      </c>
      <c r="I237" s="3" t="s">
        <v>73</v>
      </c>
      <c r="J237" s="3" t="s">
        <v>212</v>
      </c>
      <c r="L237" s="3" t="s">
        <v>1288</v>
      </c>
      <c r="M237" s="3" t="s">
        <v>371</v>
      </c>
      <c r="N237" s="3" t="s">
        <v>372</v>
      </c>
      <c r="O237" s="3" t="s">
        <v>373</v>
      </c>
      <c r="P237" s="3" t="s">
        <v>79</v>
      </c>
      <c r="Q237" s="3" t="s">
        <v>875</v>
      </c>
      <c r="S237" s="18">
        <v>0</v>
      </c>
      <c r="T237" s="18">
        <v>18.350000000000001</v>
      </c>
      <c r="U237" s="18">
        <v>29.78</v>
      </c>
      <c r="V237" s="3" t="s">
        <v>95</v>
      </c>
      <c r="AC237" s="3" t="s">
        <v>81</v>
      </c>
      <c r="AD237" s="6">
        <v>18.468679999999999</v>
      </c>
      <c r="AE237" s="6">
        <v>-67.154452000000006</v>
      </c>
      <c r="AH237" s="3">
        <v>2007</v>
      </c>
      <c r="AI237" s="3">
        <v>12</v>
      </c>
      <c r="AJ237" s="8">
        <v>11</v>
      </c>
      <c r="AK237" s="3">
        <v>2007</v>
      </c>
      <c r="AL237" s="3">
        <v>12</v>
      </c>
      <c r="AM237" s="3">
        <v>17</v>
      </c>
      <c r="AN237" s="29">
        <v>1</v>
      </c>
      <c r="AY237" s="3">
        <v>70.848792703252997</v>
      </c>
      <c r="AZ237" s="3" t="s">
        <v>89</v>
      </c>
      <c r="BA237" s="3" t="s">
        <v>876</v>
      </c>
      <c r="BC237" s="3" t="s">
        <v>877</v>
      </c>
      <c r="BD237" s="8">
        <v>0</v>
      </c>
    </row>
    <row r="238" spans="1:56" ht="14.25" customHeight="1" thickBot="1">
      <c r="A238" s="3" t="s">
        <v>1289</v>
      </c>
      <c r="B238" s="3" t="s">
        <v>988</v>
      </c>
      <c r="C238" s="3" t="s">
        <v>1290</v>
      </c>
      <c r="E238" s="3" t="s">
        <v>71</v>
      </c>
      <c r="F238" s="3">
        <f t="shared" si="0"/>
        <v>2</v>
      </c>
      <c r="G238" s="3" t="s">
        <v>72</v>
      </c>
      <c r="H238" s="3">
        <f t="shared" si="1"/>
        <v>2</v>
      </c>
      <c r="I238" s="3" t="s">
        <v>73</v>
      </c>
      <c r="J238" s="3" t="s">
        <v>212</v>
      </c>
      <c r="L238" s="3" t="s">
        <v>1291</v>
      </c>
      <c r="M238" s="3" t="s">
        <v>97</v>
      </c>
      <c r="N238" s="3" t="s">
        <v>98</v>
      </c>
      <c r="O238" s="3" t="s">
        <v>78</v>
      </c>
      <c r="P238" s="3" t="s">
        <v>79</v>
      </c>
      <c r="Q238" s="3" t="s">
        <v>1292</v>
      </c>
      <c r="S238" s="18">
        <v>11.75</v>
      </c>
      <c r="T238" s="18">
        <v>21.98</v>
      </c>
      <c r="U238" s="18">
        <v>30.49</v>
      </c>
      <c r="V238" s="3" t="s">
        <v>95</v>
      </c>
      <c r="AB238" s="3">
        <v>132</v>
      </c>
      <c r="AC238" s="3" t="s">
        <v>81</v>
      </c>
      <c r="AD238" s="6">
        <v>31.26389</v>
      </c>
      <c r="AE238" s="6">
        <v>-98.545612000000006</v>
      </c>
      <c r="AH238" s="3">
        <v>2007</v>
      </c>
      <c r="AI238" s="3">
        <v>8</v>
      </c>
      <c r="AJ238" s="8">
        <v>16</v>
      </c>
      <c r="AK238" s="3">
        <v>2007</v>
      </c>
      <c r="AL238" s="3">
        <v>8</v>
      </c>
      <c r="AM238" s="3">
        <v>19</v>
      </c>
      <c r="AN238" s="29">
        <v>7</v>
      </c>
      <c r="AY238" s="3">
        <v>70.848792703252997</v>
      </c>
      <c r="AZ238" s="3" t="s">
        <v>89</v>
      </c>
      <c r="BA238" s="3" t="s">
        <v>1293</v>
      </c>
      <c r="BC238" s="3" t="s">
        <v>1294</v>
      </c>
      <c r="BD238" s="8">
        <v>0</v>
      </c>
    </row>
    <row r="239" spans="1:56" ht="14.25" customHeight="1" thickBot="1">
      <c r="A239" s="3" t="s">
        <v>1295</v>
      </c>
      <c r="B239" s="3" t="s">
        <v>988</v>
      </c>
      <c r="C239" s="3" t="s">
        <v>1223</v>
      </c>
      <c r="E239" s="3" t="s">
        <v>71</v>
      </c>
      <c r="F239" s="3">
        <f t="shared" si="0"/>
        <v>2</v>
      </c>
      <c r="G239" s="3" t="s">
        <v>72</v>
      </c>
      <c r="H239" s="3">
        <f t="shared" si="1"/>
        <v>2</v>
      </c>
      <c r="I239" s="3" t="s">
        <v>73</v>
      </c>
      <c r="M239" s="3" t="s">
        <v>97</v>
      </c>
      <c r="N239" s="3" t="s">
        <v>98</v>
      </c>
      <c r="O239" s="3" t="s">
        <v>78</v>
      </c>
      <c r="P239" s="3" t="s">
        <v>79</v>
      </c>
      <c r="Q239" s="3" t="s">
        <v>1296</v>
      </c>
      <c r="S239" s="18">
        <v>0</v>
      </c>
      <c r="T239" s="18">
        <v>-7.73</v>
      </c>
      <c r="U239" s="18">
        <v>-0.27</v>
      </c>
      <c r="V239" s="3" t="s">
        <v>129</v>
      </c>
      <c r="AB239" s="3">
        <v>109</v>
      </c>
      <c r="AC239" s="3" t="s">
        <v>81</v>
      </c>
      <c r="AD239" s="6">
        <v>40.079659999999997</v>
      </c>
      <c r="AE239" s="6">
        <v>-89.433729</v>
      </c>
      <c r="AH239" s="3">
        <v>2007</v>
      </c>
      <c r="AI239" s="3">
        <v>12</v>
      </c>
      <c r="AJ239" s="8">
        <v>23</v>
      </c>
      <c r="AK239" s="3">
        <v>2007</v>
      </c>
      <c r="AL239" s="3">
        <v>12</v>
      </c>
      <c r="AM239" s="3">
        <v>26</v>
      </c>
      <c r="AN239" s="29">
        <v>22</v>
      </c>
      <c r="AY239" s="3">
        <v>70.848792703252997</v>
      </c>
      <c r="AZ239" s="3" t="s">
        <v>89</v>
      </c>
      <c r="BA239" s="3" t="s">
        <v>1297</v>
      </c>
      <c r="BC239" s="3" t="s">
        <v>1298</v>
      </c>
      <c r="BD239" s="8">
        <v>0</v>
      </c>
    </row>
    <row r="240" spans="1:56" ht="14.25" customHeight="1" thickBot="1">
      <c r="A240" s="3" t="s">
        <v>1299</v>
      </c>
      <c r="B240" s="3" t="s">
        <v>988</v>
      </c>
      <c r="C240" s="3" t="s">
        <v>1300</v>
      </c>
      <c r="E240" s="3" t="s">
        <v>71</v>
      </c>
      <c r="F240" s="3">
        <f t="shared" si="0"/>
        <v>2</v>
      </c>
      <c r="G240" s="3" t="s">
        <v>72</v>
      </c>
      <c r="H240" s="3">
        <f t="shared" si="1"/>
        <v>2</v>
      </c>
      <c r="I240" s="3" t="s">
        <v>73</v>
      </c>
      <c r="M240" s="3" t="s">
        <v>97</v>
      </c>
      <c r="N240" s="3" t="s">
        <v>98</v>
      </c>
      <c r="O240" s="3" t="s">
        <v>78</v>
      </c>
      <c r="P240" s="3" t="s">
        <v>79</v>
      </c>
      <c r="Q240" s="3" t="s">
        <v>1301</v>
      </c>
      <c r="S240" s="18">
        <v>13.24</v>
      </c>
      <c r="T240" s="18">
        <v>-2.4500000000000002</v>
      </c>
      <c r="U240" s="18">
        <v>1.03</v>
      </c>
      <c r="V240" s="3" t="s">
        <v>129</v>
      </c>
      <c r="AC240" s="3" t="s">
        <v>81</v>
      </c>
      <c r="AD240" s="6">
        <v>34.955080000000002</v>
      </c>
      <c r="AE240" s="6">
        <v>-97.268405999999999</v>
      </c>
      <c r="AH240" s="3">
        <v>2007</v>
      </c>
      <c r="AI240" s="3">
        <v>12</v>
      </c>
      <c r="AJ240" s="8">
        <v>9</v>
      </c>
      <c r="AK240" s="3">
        <v>2007</v>
      </c>
      <c r="AL240" s="3">
        <v>12</v>
      </c>
      <c r="AM240" s="3">
        <v>11</v>
      </c>
      <c r="AN240" s="29">
        <v>24</v>
      </c>
      <c r="AO240" s="3">
        <v>2</v>
      </c>
      <c r="AR240" s="3">
        <v>2</v>
      </c>
      <c r="AU240" s="3">
        <v>450000</v>
      </c>
      <c r="AV240" s="3">
        <v>635155</v>
      </c>
      <c r="AW240" s="3">
        <v>500000</v>
      </c>
      <c r="AX240" s="3">
        <v>705728</v>
      </c>
      <c r="AY240" s="3">
        <v>70.848792703252997</v>
      </c>
      <c r="AZ240" s="3" t="s">
        <v>89</v>
      </c>
      <c r="BA240" s="3" t="s">
        <v>1302</v>
      </c>
      <c r="BC240" s="3" t="s">
        <v>1303</v>
      </c>
      <c r="BD240" s="8">
        <v>1</v>
      </c>
    </row>
    <row r="241" spans="1:56" ht="14.25" customHeight="1" thickBot="1">
      <c r="A241" s="3" t="s">
        <v>1304</v>
      </c>
      <c r="B241" s="3" t="s">
        <v>988</v>
      </c>
      <c r="C241" s="3" t="s">
        <v>1305</v>
      </c>
      <c r="E241" s="3" t="s">
        <v>71</v>
      </c>
      <c r="F241" s="3">
        <f t="shared" si="0"/>
        <v>1</v>
      </c>
      <c r="G241" s="3" t="s">
        <v>94</v>
      </c>
      <c r="H241" s="3">
        <f t="shared" si="1"/>
        <v>1</v>
      </c>
      <c r="I241" s="3" t="s">
        <v>95</v>
      </c>
      <c r="J241" s="3" t="s">
        <v>96</v>
      </c>
      <c r="M241" s="3" t="s">
        <v>97</v>
      </c>
      <c r="N241" s="3" t="s">
        <v>98</v>
      </c>
      <c r="O241" s="3" t="s">
        <v>78</v>
      </c>
      <c r="P241" s="3" t="s">
        <v>79</v>
      </c>
      <c r="Q241" s="3" t="s">
        <v>1306</v>
      </c>
      <c r="R241" s="3" t="s">
        <v>100</v>
      </c>
      <c r="S241" s="18">
        <v>69.010000000000005</v>
      </c>
      <c r="T241" s="18">
        <v>19.09</v>
      </c>
      <c r="U241" s="18">
        <v>26.97</v>
      </c>
      <c r="AB241" s="3">
        <v>341</v>
      </c>
      <c r="AC241" s="3" t="s">
        <v>102</v>
      </c>
      <c r="AD241" s="8">
        <v>30.24</v>
      </c>
      <c r="AE241" s="8">
        <v>-98.66</v>
      </c>
      <c r="AG241" s="3" t="s">
        <v>1307</v>
      </c>
      <c r="AH241" s="3">
        <v>2007</v>
      </c>
      <c r="AI241" s="3">
        <v>5</v>
      </c>
      <c r="AJ241" s="8">
        <v>24</v>
      </c>
      <c r="AK241" s="3">
        <v>2007</v>
      </c>
      <c r="AL241" s="3">
        <v>5</v>
      </c>
      <c r="AM241" s="3">
        <v>29</v>
      </c>
      <c r="AN241" s="29">
        <v>8</v>
      </c>
      <c r="AP241" s="3">
        <v>100</v>
      </c>
      <c r="AR241" s="3">
        <v>100</v>
      </c>
      <c r="AY241" s="3">
        <v>70.848792703252997</v>
      </c>
      <c r="AZ241" s="3" t="s">
        <v>89</v>
      </c>
      <c r="BA241" s="3" t="s">
        <v>1308</v>
      </c>
      <c r="BC241" s="3" t="s">
        <v>1309</v>
      </c>
      <c r="BD241" s="8">
        <v>3</v>
      </c>
    </row>
    <row r="242" spans="1:56" ht="14.25" customHeight="1" thickBot="1">
      <c r="A242" s="3" t="s">
        <v>1310</v>
      </c>
      <c r="B242" s="3" t="s">
        <v>988</v>
      </c>
      <c r="C242" s="3" t="s">
        <v>1311</v>
      </c>
      <c r="E242" s="3" t="s">
        <v>71</v>
      </c>
      <c r="F242" s="3">
        <f t="shared" si="0"/>
        <v>1</v>
      </c>
      <c r="G242" s="3" t="s">
        <v>94</v>
      </c>
      <c r="H242" s="3">
        <f t="shared" si="1"/>
        <v>1</v>
      </c>
      <c r="I242" s="3" t="s">
        <v>95</v>
      </c>
      <c r="J242" s="3" t="s">
        <v>96</v>
      </c>
      <c r="M242" s="3" t="s">
        <v>97</v>
      </c>
      <c r="N242" s="3" t="s">
        <v>98</v>
      </c>
      <c r="O242" s="3" t="s">
        <v>78</v>
      </c>
      <c r="P242" s="3" t="s">
        <v>79</v>
      </c>
      <c r="Q242" s="3" t="s">
        <v>1312</v>
      </c>
      <c r="R242" s="3" t="s">
        <v>100</v>
      </c>
      <c r="S242" s="18">
        <v>64.77</v>
      </c>
      <c r="T242" s="18">
        <v>19.93</v>
      </c>
      <c r="U242" s="18">
        <v>25.28</v>
      </c>
      <c r="AB242" s="3">
        <v>34750</v>
      </c>
      <c r="AC242" s="3" t="s">
        <v>102</v>
      </c>
      <c r="AD242" s="8">
        <v>33.450000000000003</v>
      </c>
      <c r="AE242" s="8">
        <v>-97.3</v>
      </c>
      <c r="AG242" s="3" t="s">
        <v>1313</v>
      </c>
      <c r="AH242" s="3">
        <v>2007</v>
      </c>
      <c r="AI242" s="3">
        <v>6</v>
      </c>
      <c r="AJ242" s="8">
        <v>17</v>
      </c>
      <c r="AK242" s="3">
        <v>2007</v>
      </c>
      <c r="AL242" s="3">
        <v>6</v>
      </c>
      <c r="AM242" s="3">
        <v>22</v>
      </c>
      <c r="AN242" s="29">
        <v>10</v>
      </c>
      <c r="AP242" s="3">
        <v>750</v>
      </c>
      <c r="AR242" s="3">
        <v>750</v>
      </c>
      <c r="AW242" s="3">
        <v>28000</v>
      </c>
      <c r="AX242" s="3">
        <v>39521</v>
      </c>
      <c r="AY242" s="3">
        <v>70.848792703252997</v>
      </c>
      <c r="AZ242" s="3" t="s">
        <v>89</v>
      </c>
      <c r="BA242" s="3" t="s">
        <v>1055</v>
      </c>
      <c r="BC242" s="3" t="s">
        <v>1056</v>
      </c>
      <c r="BD242" s="8">
        <v>3</v>
      </c>
    </row>
    <row r="243" spans="1:56" ht="14.25" customHeight="1" thickBot="1">
      <c r="A243" s="3" t="s">
        <v>1314</v>
      </c>
      <c r="B243" s="3" t="s">
        <v>988</v>
      </c>
      <c r="C243" s="3" t="s">
        <v>389</v>
      </c>
      <c r="E243" s="3" t="s">
        <v>71</v>
      </c>
      <c r="F243" s="3">
        <f t="shared" si="0"/>
        <v>3</v>
      </c>
      <c r="G243" s="3" t="s">
        <v>119</v>
      </c>
      <c r="H243" s="3">
        <f t="shared" si="1"/>
        <v>3</v>
      </c>
      <c r="I243" s="3" t="s">
        <v>122</v>
      </c>
      <c r="J243" s="3" t="s">
        <v>227</v>
      </c>
      <c r="M243" s="3" t="s">
        <v>97</v>
      </c>
      <c r="N243" s="3" t="s">
        <v>98</v>
      </c>
      <c r="O243" s="3" t="s">
        <v>78</v>
      </c>
      <c r="P243" s="3" t="s">
        <v>79</v>
      </c>
      <c r="Q243" s="3" t="s">
        <v>1315</v>
      </c>
      <c r="S243" s="18">
        <v>0</v>
      </c>
      <c r="T243" s="18">
        <v>4.91</v>
      </c>
      <c r="U243" s="18">
        <v>15.53</v>
      </c>
      <c r="AC243" s="3" t="s">
        <v>102</v>
      </c>
      <c r="AD243" s="6">
        <v>38.589390000000002</v>
      </c>
      <c r="AE243" s="6">
        <v>-119.834501</v>
      </c>
      <c r="AH243" s="3">
        <v>2007</v>
      </c>
      <c r="AI243" s="3">
        <v>6</v>
      </c>
      <c r="AJ243" s="8">
        <v>24</v>
      </c>
      <c r="AK243" s="3">
        <v>2007</v>
      </c>
      <c r="AL243" s="3">
        <v>7</v>
      </c>
      <c r="AM243" s="3">
        <v>2</v>
      </c>
      <c r="AN243" s="29">
        <v>0</v>
      </c>
      <c r="AQ243" s="3">
        <v>768</v>
      </c>
      <c r="AR243" s="3">
        <v>768</v>
      </c>
      <c r="AU243" s="3">
        <v>150000</v>
      </c>
      <c r="AV243" s="3">
        <v>211718</v>
      </c>
      <c r="AY243" s="3">
        <v>70.848792703252997</v>
      </c>
      <c r="AZ243" s="3" t="s">
        <v>82</v>
      </c>
      <c r="BB243" s="3" t="s">
        <v>1316</v>
      </c>
      <c r="BC243" s="3" t="s">
        <v>1317</v>
      </c>
      <c r="BD243" s="8">
        <v>3</v>
      </c>
    </row>
    <row r="244" spans="1:56" ht="14.25" customHeight="1" thickBot="1">
      <c r="A244" s="3" t="s">
        <v>1318</v>
      </c>
      <c r="B244" s="3" t="s">
        <v>988</v>
      </c>
      <c r="C244" s="3" t="s">
        <v>1319</v>
      </c>
      <c r="E244" s="3" t="s">
        <v>71</v>
      </c>
      <c r="F244" s="3">
        <f t="shared" si="0"/>
        <v>3</v>
      </c>
      <c r="G244" s="3" t="s">
        <v>119</v>
      </c>
      <c r="H244" s="3">
        <f t="shared" si="1"/>
        <v>3</v>
      </c>
      <c r="I244" s="3" t="s">
        <v>122</v>
      </c>
      <c r="J244" s="3" t="s">
        <v>227</v>
      </c>
      <c r="M244" s="3" t="s">
        <v>97</v>
      </c>
      <c r="N244" s="3" t="s">
        <v>98</v>
      </c>
      <c r="O244" s="3" t="s">
        <v>78</v>
      </c>
      <c r="P244" s="3" t="s">
        <v>79</v>
      </c>
      <c r="Q244" s="3" t="s">
        <v>1320</v>
      </c>
      <c r="S244" s="18">
        <v>0</v>
      </c>
      <c r="T244" s="18">
        <v>12.9</v>
      </c>
      <c r="U244" s="18">
        <v>26.88</v>
      </c>
      <c r="AC244" s="3" t="s">
        <v>102</v>
      </c>
      <c r="AD244" s="5">
        <v>34.023872232674698</v>
      </c>
      <c r="AE244" s="17">
        <v>-118.79162866454899</v>
      </c>
      <c r="AH244" s="3">
        <v>2007</v>
      </c>
      <c r="AI244" s="3">
        <v>11</v>
      </c>
      <c r="AJ244" s="8">
        <v>24</v>
      </c>
      <c r="AK244" s="3">
        <v>2007</v>
      </c>
      <c r="AL244" s="3">
        <v>11</v>
      </c>
      <c r="AM244" s="3">
        <v>27</v>
      </c>
      <c r="AN244" s="29">
        <v>0</v>
      </c>
      <c r="AP244" s="3">
        <v>10000</v>
      </c>
      <c r="AQ244" s="3">
        <v>159</v>
      </c>
      <c r="AR244" s="3">
        <v>10159</v>
      </c>
      <c r="AW244" s="3">
        <v>315000</v>
      </c>
      <c r="AX244" s="3">
        <v>444609</v>
      </c>
      <c r="AY244" s="3">
        <v>70.848792703252997</v>
      </c>
      <c r="AZ244" s="3" t="s">
        <v>82</v>
      </c>
      <c r="BB244" s="3" t="s">
        <v>591</v>
      </c>
      <c r="BC244" s="3" t="s">
        <v>592</v>
      </c>
      <c r="BD244" s="8">
        <v>5</v>
      </c>
    </row>
    <row r="245" spans="1:56" ht="14.25" customHeight="1" thickBot="1">
      <c r="A245" s="3" t="s">
        <v>1321</v>
      </c>
      <c r="B245" s="3" t="s">
        <v>988</v>
      </c>
      <c r="C245" s="3" t="s">
        <v>1322</v>
      </c>
      <c r="E245" s="3" t="s">
        <v>71</v>
      </c>
      <c r="F245" s="3">
        <f t="shared" si="0"/>
        <v>3</v>
      </c>
      <c r="G245" s="3" t="s">
        <v>119</v>
      </c>
      <c r="H245" s="3">
        <f t="shared" si="1"/>
        <v>7</v>
      </c>
      <c r="I245" s="3" t="s">
        <v>120</v>
      </c>
      <c r="J245" s="3" t="s">
        <v>120</v>
      </c>
      <c r="M245" s="3" t="s">
        <v>97</v>
      </c>
      <c r="N245" s="3" t="s">
        <v>98</v>
      </c>
      <c r="O245" s="3" t="s">
        <v>78</v>
      </c>
      <c r="P245" s="3" t="s">
        <v>79</v>
      </c>
      <c r="Q245" s="3" t="s">
        <v>1323</v>
      </c>
      <c r="R245" s="3" t="s">
        <v>1324</v>
      </c>
      <c r="S245" s="18">
        <v>0</v>
      </c>
      <c r="T245" s="18">
        <v>0.61</v>
      </c>
      <c r="U245" s="18">
        <v>13.15</v>
      </c>
      <c r="Z245" s="3" t="s">
        <v>264</v>
      </c>
      <c r="AC245" s="3" t="s">
        <v>102</v>
      </c>
      <c r="AD245" s="6">
        <v>36.701459999999997</v>
      </c>
      <c r="AE245" s="6">
        <v>-118.75599699999999</v>
      </c>
      <c r="AH245" s="3">
        <v>2007</v>
      </c>
      <c r="AI245" s="3">
        <v>10</v>
      </c>
      <c r="AJ245" s="8">
        <v>1</v>
      </c>
      <c r="AK245" s="3">
        <v>2009</v>
      </c>
      <c r="AL245" s="3">
        <v>6</v>
      </c>
      <c r="AN245" s="29">
        <v>0</v>
      </c>
      <c r="AW245" s="3">
        <v>300000</v>
      </c>
      <c r="AX245" s="3">
        <v>423437</v>
      </c>
      <c r="AY245" s="3">
        <v>70.848792703252997</v>
      </c>
      <c r="AZ245" s="3" t="s">
        <v>89</v>
      </c>
      <c r="BA245" s="3" t="s">
        <v>1325</v>
      </c>
      <c r="BC245" s="3" t="s">
        <v>1326</v>
      </c>
      <c r="BD245" s="8">
        <v>0</v>
      </c>
    </row>
    <row r="246" spans="1:56" ht="14.25" customHeight="1" thickBot="1">
      <c r="A246" s="3" t="s">
        <v>1327</v>
      </c>
      <c r="B246" s="3" t="s">
        <v>1228</v>
      </c>
      <c r="C246" s="3" t="s">
        <v>1328</v>
      </c>
      <c r="E246" s="3" t="s">
        <v>71</v>
      </c>
      <c r="F246" s="3">
        <f t="shared" si="0"/>
        <v>1</v>
      </c>
      <c r="G246" s="3" t="s">
        <v>94</v>
      </c>
      <c r="H246" s="3">
        <f t="shared" si="1"/>
        <v>1</v>
      </c>
      <c r="I246" s="3" t="s">
        <v>95</v>
      </c>
      <c r="J246" s="3" t="s">
        <v>96</v>
      </c>
      <c r="M246" s="3" t="s">
        <v>97</v>
      </c>
      <c r="N246" s="3" t="s">
        <v>98</v>
      </c>
      <c r="O246" s="3" t="s">
        <v>78</v>
      </c>
      <c r="P246" s="3" t="s">
        <v>79</v>
      </c>
      <c r="Q246" s="3" t="s">
        <v>1329</v>
      </c>
      <c r="R246" s="3" t="s">
        <v>200</v>
      </c>
      <c r="S246" s="18">
        <v>4.74</v>
      </c>
      <c r="T246" s="18">
        <v>-2.52</v>
      </c>
      <c r="U246" s="18">
        <v>3.7</v>
      </c>
      <c r="V246" s="3" t="s">
        <v>683</v>
      </c>
      <c r="W246" s="3" t="s">
        <v>962</v>
      </c>
      <c r="AB246" s="3">
        <v>550</v>
      </c>
      <c r="AC246" s="3" t="s">
        <v>102</v>
      </c>
      <c r="AD246" s="8">
        <v>39.630000000000003</v>
      </c>
      <c r="AE246" s="8">
        <v>-119.2</v>
      </c>
      <c r="AG246" s="3" t="s">
        <v>1330</v>
      </c>
      <c r="AH246" s="3">
        <v>2008</v>
      </c>
      <c r="AI246" s="3">
        <v>1</v>
      </c>
      <c r="AJ246" s="8">
        <v>5</v>
      </c>
      <c r="AK246" s="3">
        <v>2008</v>
      </c>
      <c r="AL246" s="3">
        <v>1</v>
      </c>
      <c r="AM246" s="3">
        <v>9</v>
      </c>
      <c r="AN246" s="29">
        <v>2</v>
      </c>
      <c r="AP246" s="3">
        <v>1500</v>
      </c>
      <c r="AR246" s="3">
        <v>1500</v>
      </c>
      <c r="AY246" s="3">
        <v>73.568745535504604</v>
      </c>
      <c r="AZ246" s="3" t="s">
        <v>89</v>
      </c>
      <c r="BA246" s="3" t="s">
        <v>1331</v>
      </c>
      <c r="BC246" s="3" t="s">
        <v>1332</v>
      </c>
      <c r="BD246" s="8">
        <v>4</v>
      </c>
    </row>
    <row r="247" spans="1:56" ht="14.25" customHeight="1" thickBot="1">
      <c r="A247" s="3" t="s">
        <v>1333</v>
      </c>
      <c r="B247" s="3" t="s">
        <v>1228</v>
      </c>
      <c r="C247" s="3" t="s">
        <v>750</v>
      </c>
      <c r="E247" s="3" t="s">
        <v>71</v>
      </c>
      <c r="F247" s="3">
        <f t="shared" si="0"/>
        <v>2</v>
      </c>
      <c r="G247" s="3" t="s">
        <v>72</v>
      </c>
      <c r="H247" s="3">
        <f t="shared" si="1"/>
        <v>2</v>
      </c>
      <c r="I247" s="3" t="s">
        <v>73</v>
      </c>
      <c r="J247" s="3" t="s">
        <v>74</v>
      </c>
      <c r="K247" s="3" t="s">
        <v>75</v>
      </c>
      <c r="M247" s="3" t="s">
        <v>97</v>
      </c>
      <c r="N247" s="3" t="s">
        <v>98</v>
      </c>
      <c r="O247" s="3" t="s">
        <v>78</v>
      </c>
      <c r="P247" s="3" t="s">
        <v>79</v>
      </c>
      <c r="Q247" s="3" t="s">
        <v>1334</v>
      </c>
      <c r="S247" s="18">
        <v>9.0500000000000007</v>
      </c>
      <c r="T247" s="18">
        <v>9.9</v>
      </c>
      <c r="U247" s="18">
        <v>17.84</v>
      </c>
      <c r="V247" s="3" t="s">
        <v>95</v>
      </c>
      <c r="W247" s="3" t="s">
        <v>962</v>
      </c>
      <c r="Z247" s="3" t="s">
        <v>264</v>
      </c>
      <c r="AB247" s="3">
        <v>320</v>
      </c>
      <c r="AC247" s="3" t="s">
        <v>81</v>
      </c>
      <c r="AD247" s="8">
        <v>39.82</v>
      </c>
      <c r="AE247" s="8">
        <v>-92.33</v>
      </c>
      <c r="AH247" s="3">
        <v>2008</v>
      </c>
      <c r="AI247" s="3">
        <v>5</v>
      </c>
      <c r="AJ247" s="8">
        <v>22</v>
      </c>
      <c r="AK247" s="3">
        <v>2008</v>
      </c>
      <c r="AL247" s="3">
        <v>5</v>
      </c>
      <c r="AM247" s="3">
        <v>26</v>
      </c>
      <c r="AN247" s="29">
        <v>7</v>
      </c>
      <c r="AO247" s="3">
        <v>70</v>
      </c>
      <c r="AR247" s="3">
        <v>70</v>
      </c>
      <c r="AU247" s="3">
        <v>1325000</v>
      </c>
      <c r="AV247" s="3">
        <v>1801037</v>
      </c>
      <c r="AW247" s="3">
        <v>1600000</v>
      </c>
      <c r="AX247" s="3">
        <v>2174837</v>
      </c>
      <c r="AY247" s="3">
        <v>73.568745535504604</v>
      </c>
      <c r="AZ247" s="3" t="s">
        <v>206</v>
      </c>
      <c r="BA247" s="3" t="s">
        <v>1335</v>
      </c>
      <c r="BB247" s="3" t="s">
        <v>1336</v>
      </c>
      <c r="BC247" s="3" t="s">
        <v>1337</v>
      </c>
      <c r="BD247" s="8">
        <v>2</v>
      </c>
    </row>
    <row r="248" spans="1:56" ht="14.25" customHeight="1" thickBot="1">
      <c r="A248" s="3" t="s">
        <v>1338</v>
      </c>
      <c r="B248" s="3" t="s">
        <v>1228</v>
      </c>
      <c r="C248" s="3" t="s">
        <v>379</v>
      </c>
      <c r="D248" s="3" t="s">
        <v>1339</v>
      </c>
      <c r="E248" s="3" t="s">
        <v>71</v>
      </c>
      <c r="F248" s="3">
        <f t="shared" si="0"/>
        <v>2</v>
      </c>
      <c r="G248" s="3" t="s">
        <v>72</v>
      </c>
      <c r="H248" s="3">
        <f t="shared" si="1"/>
        <v>2</v>
      </c>
      <c r="I248" s="3" t="s">
        <v>73</v>
      </c>
      <c r="J248" s="3" t="s">
        <v>74</v>
      </c>
      <c r="K248" s="3" t="s">
        <v>75</v>
      </c>
      <c r="M248" s="3" t="s">
        <v>97</v>
      </c>
      <c r="N248" s="3" t="s">
        <v>98</v>
      </c>
      <c r="O248" s="3" t="s">
        <v>78</v>
      </c>
      <c r="P248" s="3" t="s">
        <v>79</v>
      </c>
      <c r="Q248" s="3" t="s">
        <v>1340</v>
      </c>
      <c r="R248" s="3" t="s">
        <v>1341</v>
      </c>
      <c r="S248" s="18">
        <v>0</v>
      </c>
      <c r="T248" s="18">
        <v>10.25</v>
      </c>
      <c r="U248" s="18">
        <v>20.75</v>
      </c>
      <c r="V248" s="3" t="s">
        <v>95</v>
      </c>
      <c r="W248" s="3" t="s">
        <v>355</v>
      </c>
      <c r="Z248" s="3" t="s">
        <v>264</v>
      </c>
      <c r="AB248" s="3">
        <v>280</v>
      </c>
      <c r="AC248" s="3" t="s">
        <v>81</v>
      </c>
      <c r="AD248" s="6">
        <v>38.273119999999999</v>
      </c>
      <c r="AE248" s="6">
        <v>-98.582187000000005</v>
      </c>
      <c r="AH248" s="3">
        <v>2008</v>
      </c>
      <c r="AI248" s="3">
        <v>5</v>
      </c>
      <c r="AJ248" s="8">
        <v>10</v>
      </c>
      <c r="AK248" s="3">
        <v>2008</v>
      </c>
      <c r="AL248" s="3">
        <v>5</v>
      </c>
      <c r="AM248" s="3">
        <v>12</v>
      </c>
      <c r="AN248" s="29">
        <v>22</v>
      </c>
      <c r="AO248" s="3">
        <v>150</v>
      </c>
      <c r="AR248" s="3">
        <v>150</v>
      </c>
      <c r="AU248" s="3">
        <v>450000</v>
      </c>
      <c r="AV248" s="3">
        <v>611673</v>
      </c>
      <c r="AW248" s="3">
        <v>700000</v>
      </c>
      <c r="AX248" s="3">
        <v>951491</v>
      </c>
      <c r="AY248" s="3">
        <v>73.568745535504604</v>
      </c>
      <c r="AZ248" s="3" t="s">
        <v>89</v>
      </c>
      <c r="BA248" s="3" t="s">
        <v>1342</v>
      </c>
      <c r="BC248" s="3" t="s">
        <v>1343</v>
      </c>
      <c r="BD248" s="8">
        <v>3</v>
      </c>
    </row>
    <row r="249" spans="1:56" ht="14.25" customHeight="1" thickBot="1">
      <c r="A249" s="3" t="s">
        <v>1344</v>
      </c>
      <c r="B249" s="3" t="s">
        <v>1228</v>
      </c>
      <c r="C249" s="3" t="s">
        <v>1345</v>
      </c>
      <c r="D249" s="3" t="s">
        <v>1346</v>
      </c>
      <c r="E249" s="3" t="s">
        <v>71</v>
      </c>
      <c r="F249" s="3">
        <f t="shared" si="0"/>
        <v>2</v>
      </c>
      <c r="G249" s="3" t="s">
        <v>72</v>
      </c>
      <c r="H249" s="3">
        <f t="shared" si="1"/>
        <v>2</v>
      </c>
      <c r="I249" s="3" t="s">
        <v>73</v>
      </c>
      <c r="J249" s="3" t="s">
        <v>74</v>
      </c>
      <c r="K249" s="3" t="s">
        <v>75</v>
      </c>
      <c r="M249" s="3" t="s">
        <v>97</v>
      </c>
      <c r="N249" s="3" t="s">
        <v>98</v>
      </c>
      <c r="O249" s="3" t="s">
        <v>78</v>
      </c>
      <c r="P249" s="3" t="s">
        <v>79</v>
      </c>
      <c r="Q249" s="3" t="s">
        <v>1347</v>
      </c>
      <c r="S249" s="18">
        <v>18.57</v>
      </c>
      <c r="T249" s="18">
        <v>11.25</v>
      </c>
      <c r="U249" s="18">
        <v>23.03</v>
      </c>
      <c r="V249" s="3" t="s">
        <v>355</v>
      </c>
      <c r="W249" s="3" t="s">
        <v>95</v>
      </c>
      <c r="Z249" s="3" t="s">
        <v>264</v>
      </c>
      <c r="AC249" s="3" t="s">
        <v>81</v>
      </c>
      <c r="AD249" s="6">
        <v>35.773009999999999</v>
      </c>
      <c r="AE249" s="6">
        <v>-86.282008000000005</v>
      </c>
      <c r="AH249" s="3">
        <v>2008</v>
      </c>
      <c r="AI249" s="3">
        <v>2</v>
      </c>
      <c r="AJ249" s="8">
        <v>5</v>
      </c>
      <c r="AK249" s="3">
        <v>2008</v>
      </c>
      <c r="AL249" s="3">
        <v>2</v>
      </c>
      <c r="AM249" s="3">
        <v>6</v>
      </c>
      <c r="AN249" s="29">
        <v>59</v>
      </c>
      <c r="AO249" s="3">
        <v>150</v>
      </c>
      <c r="AR249" s="3">
        <v>150</v>
      </c>
      <c r="AU249" s="3">
        <v>955000</v>
      </c>
      <c r="AV249" s="3">
        <v>1298106</v>
      </c>
      <c r="AW249" s="3">
        <v>1300000</v>
      </c>
      <c r="AX249" s="3">
        <v>1767055</v>
      </c>
      <c r="AY249" s="3">
        <v>73.568745535504604</v>
      </c>
      <c r="AZ249" s="3" t="s">
        <v>89</v>
      </c>
      <c r="BA249" s="3" t="s">
        <v>1348</v>
      </c>
      <c r="BC249" s="3" t="s">
        <v>1349</v>
      </c>
      <c r="BD249" s="8">
        <v>3</v>
      </c>
    </row>
    <row r="250" spans="1:56" ht="14.25" customHeight="1" thickBot="1">
      <c r="A250" s="3" t="s">
        <v>1350</v>
      </c>
      <c r="B250" s="3" t="s">
        <v>1228</v>
      </c>
      <c r="C250" s="3" t="s">
        <v>1351</v>
      </c>
      <c r="E250" s="3" t="s">
        <v>71</v>
      </c>
      <c r="F250" s="3">
        <f t="shared" si="0"/>
        <v>2</v>
      </c>
      <c r="G250" s="3" t="s">
        <v>72</v>
      </c>
      <c r="H250" s="3">
        <f t="shared" si="1"/>
        <v>2</v>
      </c>
      <c r="I250" s="3" t="s">
        <v>73</v>
      </c>
      <c r="J250" s="3" t="s">
        <v>74</v>
      </c>
      <c r="K250" s="3" t="s">
        <v>75</v>
      </c>
      <c r="M250" s="3" t="s">
        <v>97</v>
      </c>
      <c r="N250" s="3" t="s">
        <v>98</v>
      </c>
      <c r="O250" s="3" t="s">
        <v>78</v>
      </c>
      <c r="P250" s="3" t="s">
        <v>79</v>
      </c>
      <c r="Q250" s="3" t="s">
        <v>1352</v>
      </c>
      <c r="S250" s="18">
        <v>0</v>
      </c>
      <c r="T250" s="18">
        <v>7.07</v>
      </c>
      <c r="U250" s="18">
        <v>31.84</v>
      </c>
      <c r="V250" s="3" t="s">
        <v>355</v>
      </c>
      <c r="W250" s="3" t="s">
        <v>95</v>
      </c>
      <c r="Z250" s="3" t="s">
        <v>264</v>
      </c>
      <c r="AB250" s="3">
        <v>217</v>
      </c>
      <c r="AC250" s="3" t="s">
        <v>81</v>
      </c>
      <c r="AD250" s="6">
        <v>31.26389</v>
      </c>
      <c r="AE250" s="6">
        <v>-98.545612000000006</v>
      </c>
      <c r="AH250" s="3">
        <v>2008</v>
      </c>
      <c r="AI250" s="3">
        <v>3</v>
      </c>
      <c r="AJ250" s="8">
        <v>14</v>
      </c>
      <c r="AK250" s="3">
        <v>2008</v>
      </c>
      <c r="AL250" s="3">
        <v>3</v>
      </c>
      <c r="AM250" s="3">
        <v>14</v>
      </c>
      <c r="AN250" s="29">
        <v>2</v>
      </c>
      <c r="AO250" s="3">
        <v>27</v>
      </c>
      <c r="AP250" s="3">
        <v>150</v>
      </c>
      <c r="AR250" s="3">
        <v>177</v>
      </c>
      <c r="AU250" s="3">
        <v>450000</v>
      </c>
      <c r="AV250" s="3">
        <v>611673</v>
      </c>
      <c r="AW250" s="3">
        <v>450000</v>
      </c>
      <c r="AX250" s="3">
        <v>611673</v>
      </c>
      <c r="AY250" s="3">
        <v>73.568745535504604</v>
      </c>
      <c r="AZ250" s="3" t="s">
        <v>82</v>
      </c>
      <c r="BB250" s="3" t="s">
        <v>1353</v>
      </c>
      <c r="BC250" s="3" t="s">
        <v>1354</v>
      </c>
      <c r="BD250" s="8">
        <v>3</v>
      </c>
    </row>
    <row r="251" spans="1:56" ht="14.25" customHeight="1" thickBot="1">
      <c r="A251" s="3" t="s">
        <v>1355</v>
      </c>
      <c r="B251" s="3" t="s">
        <v>1228</v>
      </c>
      <c r="C251" s="3" t="s">
        <v>1356</v>
      </c>
      <c r="D251" s="3" t="s">
        <v>1357</v>
      </c>
      <c r="E251" s="3" t="s">
        <v>71</v>
      </c>
      <c r="F251" s="3">
        <f t="shared" si="0"/>
        <v>2</v>
      </c>
      <c r="G251" s="3" t="s">
        <v>72</v>
      </c>
      <c r="H251" s="3">
        <f t="shared" si="1"/>
        <v>2</v>
      </c>
      <c r="I251" s="3" t="s">
        <v>73</v>
      </c>
      <c r="J251" s="3" t="s">
        <v>212</v>
      </c>
      <c r="L251" s="3" t="s">
        <v>1358</v>
      </c>
      <c r="M251" s="3" t="s">
        <v>97</v>
      </c>
      <c r="N251" s="3" t="s">
        <v>98</v>
      </c>
      <c r="O251" s="3" t="s">
        <v>78</v>
      </c>
      <c r="P251" s="3" t="s">
        <v>79</v>
      </c>
      <c r="Q251" s="3" t="s">
        <v>1359</v>
      </c>
      <c r="S251" s="18">
        <v>5.78</v>
      </c>
      <c r="T251" s="18">
        <v>23.16</v>
      </c>
      <c r="U251" s="18">
        <v>32.25</v>
      </c>
      <c r="V251" s="3" t="s">
        <v>95</v>
      </c>
      <c r="W251" s="3" t="s">
        <v>129</v>
      </c>
      <c r="Z251" s="3" t="s">
        <v>264</v>
      </c>
      <c r="AB251" s="3">
        <v>160</v>
      </c>
      <c r="AC251" s="3" t="s">
        <v>81</v>
      </c>
      <c r="AD251" s="6">
        <v>30.20797</v>
      </c>
      <c r="AE251" s="6">
        <v>-85.829716000000005</v>
      </c>
      <c r="AH251" s="3">
        <v>2008</v>
      </c>
      <c r="AI251" s="3">
        <v>7</v>
      </c>
      <c r="AJ251" s="8">
        <v>23</v>
      </c>
      <c r="AK251" s="3">
        <v>2008</v>
      </c>
      <c r="AL251" s="3">
        <v>7</v>
      </c>
      <c r="AM251" s="3">
        <v>23</v>
      </c>
      <c r="AN251" s="29">
        <v>0</v>
      </c>
      <c r="AU251" s="3">
        <v>600000</v>
      </c>
      <c r="AV251" s="3">
        <v>815564</v>
      </c>
      <c r="AW251" s="3">
        <v>1200000</v>
      </c>
      <c r="AX251" s="3">
        <v>1631127</v>
      </c>
      <c r="AY251" s="3">
        <v>73.568745535504604</v>
      </c>
      <c r="AZ251" s="3" t="s">
        <v>82</v>
      </c>
      <c r="BB251" s="3" t="s">
        <v>1360</v>
      </c>
      <c r="BC251" s="3" t="s">
        <v>1361</v>
      </c>
      <c r="BD251" s="8">
        <v>0</v>
      </c>
    </row>
    <row r="252" spans="1:56" ht="14.25" customHeight="1" thickBot="1">
      <c r="A252" s="3" t="s">
        <v>1362</v>
      </c>
      <c r="B252" s="3" t="s">
        <v>1228</v>
      </c>
      <c r="C252" s="3" t="s">
        <v>1363</v>
      </c>
      <c r="E252" s="3" t="s">
        <v>71</v>
      </c>
      <c r="F252" s="3">
        <f t="shared" si="0"/>
        <v>1</v>
      </c>
      <c r="G252" s="3" t="s">
        <v>94</v>
      </c>
      <c r="H252" s="3">
        <f t="shared" si="1"/>
        <v>1</v>
      </c>
      <c r="I252" s="3" t="s">
        <v>95</v>
      </c>
      <c r="J252" s="3" t="s">
        <v>96</v>
      </c>
      <c r="M252" s="3" t="s">
        <v>97</v>
      </c>
      <c r="N252" s="3" t="s">
        <v>98</v>
      </c>
      <c r="O252" s="3" t="s">
        <v>78</v>
      </c>
      <c r="P252" s="3" t="s">
        <v>79</v>
      </c>
      <c r="Q252" s="3" t="s">
        <v>1364</v>
      </c>
      <c r="R252" s="3" t="s">
        <v>696</v>
      </c>
      <c r="S252" s="18">
        <v>0</v>
      </c>
      <c r="T252" s="18">
        <v>5.04</v>
      </c>
      <c r="U252" s="18">
        <v>22.67</v>
      </c>
      <c r="V252" s="3" t="s">
        <v>962</v>
      </c>
      <c r="Z252" s="3" t="s">
        <v>264</v>
      </c>
      <c r="AB252" s="3">
        <v>565200</v>
      </c>
      <c r="AC252" s="3" t="s">
        <v>102</v>
      </c>
      <c r="AD252" s="8">
        <v>36.229999999999997</v>
      </c>
      <c r="AE252" s="8">
        <v>-89.15</v>
      </c>
      <c r="AG252" s="3" t="s">
        <v>1365</v>
      </c>
      <c r="AH252" s="3">
        <v>2008</v>
      </c>
      <c r="AI252" s="3">
        <v>3</v>
      </c>
      <c r="AJ252" s="8">
        <v>17</v>
      </c>
      <c r="AK252" s="3">
        <v>2008</v>
      </c>
      <c r="AL252" s="3">
        <v>4</v>
      </c>
      <c r="AM252" s="3">
        <v>20</v>
      </c>
      <c r="AN252" s="29">
        <v>18</v>
      </c>
      <c r="AP252" s="3">
        <v>1000</v>
      </c>
      <c r="AR252" s="3">
        <v>1000</v>
      </c>
      <c r="AW252" s="3">
        <v>2000</v>
      </c>
      <c r="AX252" s="3">
        <v>2719</v>
      </c>
      <c r="AY252" s="3">
        <v>73.568745535504604</v>
      </c>
      <c r="AZ252" s="3" t="s">
        <v>89</v>
      </c>
      <c r="BA252" s="3" t="s">
        <v>1366</v>
      </c>
      <c r="BC252" s="3" t="s">
        <v>1367</v>
      </c>
      <c r="BD252" s="8">
        <v>4</v>
      </c>
    </row>
    <row r="253" spans="1:56" ht="14.25" customHeight="1" thickBot="1">
      <c r="A253" s="3" t="s">
        <v>1368</v>
      </c>
      <c r="B253" s="3" t="s">
        <v>1228</v>
      </c>
      <c r="C253" s="3" t="s">
        <v>1369</v>
      </c>
      <c r="E253" s="3" t="s">
        <v>71</v>
      </c>
      <c r="F253" s="3">
        <f t="shared" si="0"/>
        <v>1</v>
      </c>
      <c r="G253" s="3" t="s">
        <v>94</v>
      </c>
      <c r="H253" s="3">
        <f t="shared" si="1"/>
        <v>1</v>
      </c>
      <c r="I253" s="3" t="s">
        <v>95</v>
      </c>
      <c r="J253" s="3" t="s">
        <v>96</v>
      </c>
      <c r="M253" s="3" t="s">
        <v>97</v>
      </c>
      <c r="N253" s="3" t="s">
        <v>98</v>
      </c>
      <c r="O253" s="3" t="s">
        <v>78</v>
      </c>
      <c r="P253" s="3" t="s">
        <v>79</v>
      </c>
      <c r="Q253" s="3" t="s">
        <v>1370</v>
      </c>
      <c r="S253" s="18">
        <v>4.34</v>
      </c>
      <c r="T253" s="18">
        <v>18.38</v>
      </c>
      <c r="U253" s="18">
        <v>24.59</v>
      </c>
      <c r="V253" s="3" t="s">
        <v>962</v>
      </c>
      <c r="AC253" s="3" t="s">
        <v>102</v>
      </c>
      <c r="AD253" s="6">
        <v>40.079659999999997</v>
      </c>
      <c r="AE253" s="6">
        <v>-89.433729</v>
      </c>
      <c r="AG253" s="3" t="s">
        <v>1371</v>
      </c>
      <c r="AH253" s="3">
        <v>2008</v>
      </c>
      <c r="AI253" s="3">
        <v>6</v>
      </c>
      <c r="AJ253" s="8">
        <v>9</v>
      </c>
      <c r="AK253" s="3">
        <v>2008</v>
      </c>
      <c r="AL253" s="3">
        <v>6</v>
      </c>
      <c r="AM253" s="3">
        <v>30</v>
      </c>
      <c r="AN253" s="29">
        <v>24</v>
      </c>
      <c r="AO253" s="3">
        <v>148</v>
      </c>
      <c r="AP253" s="3">
        <v>11000000</v>
      </c>
      <c r="AR253" s="3">
        <v>11000148</v>
      </c>
      <c r="AU253" s="3">
        <v>400000</v>
      </c>
      <c r="AV253" s="3">
        <v>543709</v>
      </c>
      <c r="AW253" s="3">
        <v>10000000</v>
      </c>
      <c r="AX253" s="3">
        <v>13592729</v>
      </c>
      <c r="AY253" s="3">
        <v>73.568745535504604</v>
      </c>
      <c r="AZ253" s="3" t="s">
        <v>89</v>
      </c>
      <c r="BA253" s="3" t="s">
        <v>1372</v>
      </c>
      <c r="BC253" s="3" t="s">
        <v>1373</v>
      </c>
      <c r="BD253" s="8">
        <v>8</v>
      </c>
    </row>
    <row r="254" spans="1:56" ht="14.25" customHeight="1" thickBot="1">
      <c r="A254" s="3" t="s">
        <v>1374</v>
      </c>
      <c r="B254" s="3" t="s">
        <v>1228</v>
      </c>
      <c r="C254" s="3" t="s">
        <v>148</v>
      </c>
      <c r="E254" s="3" t="s">
        <v>71</v>
      </c>
      <c r="F254" s="3">
        <f t="shared" si="0"/>
        <v>2</v>
      </c>
      <c r="G254" s="3" t="s">
        <v>72</v>
      </c>
      <c r="H254" s="3">
        <f t="shared" si="1"/>
        <v>2</v>
      </c>
      <c r="I254" s="3" t="s">
        <v>73</v>
      </c>
      <c r="J254" s="3" t="s">
        <v>212</v>
      </c>
      <c r="L254" s="3" t="s">
        <v>1375</v>
      </c>
      <c r="M254" s="3" t="s">
        <v>97</v>
      </c>
      <c r="N254" s="3" t="s">
        <v>98</v>
      </c>
      <c r="O254" s="3" t="s">
        <v>78</v>
      </c>
      <c r="P254" s="3" t="s">
        <v>79</v>
      </c>
      <c r="Q254" s="3" t="s">
        <v>1376</v>
      </c>
      <c r="S254" s="18">
        <v>11.94</v>
      </c>
      <c r="T254" s="18">
        <v>23.22</v>
      </c>
      <c r="U254" s="18">
        <v>27.8</v>
      </c>
      <c r="V254" s="3" t="s">
        <v>95</v>
      </c>
      <c r="Z254" s="3" t="s">
        <v>264</v>
      </c>
      <c r="AB254" s="3">
        <v>100</v>
      </c>
      <c r="AC254" s="3" t="s">
        <v>81</v>
      </c>
      <c r="AD254" s="6">
        <v>27.756769999999999</v>
      </c>
      <c r="AE254" s="6">
        <v>-81.463982999999999</v>
      </c>
      <c r="AH254" s="3">
        <v>2008</v>
      </c>
      <c r="AI254" s="3">
        <v>8</v>
      </c>
      <c r="AJ254" s="8">
        <v>20</v>
      </c>
      <c r="AK254" s="3">
        <v>2008</v>
      </c>
      <c r="AL254" s="3">
        <v>8</v>
      </c>
      <c r="AM254" s="3">
        <v>28</v>
      </c>
      <c r="AN254" s="29">
        <v>12</v>
      </c>
      <c r="AP254" s="3">
        <v>400</v>
      </c>
      <c r="AR254" s="3">
        <v>400</v>
      </c>
      <c r="AW254" s="3">
        <v>180000</v>
      </c>
      <c r="AX254" s="3">
        <v>244669</v>
      </c>
      <c r="AY254" s="3">
        <v>73.568745535504604</v>
      </c>
      <c r="AZ254" s="3" t="s">
        <v>89</v>
      </c>
      <c r="BA254" s="3" t="s">
        <v>1377</v>
      </c>
      <c r="BC254" s="3" t="s">
        <v>1378</v>
      </c>
      <c r="BD254" s="8">
        <v>3</v>
      </c>
    </row>
    <row r="255" spans="1:56" ht="14.25" customHeight="1" thickBot="1">
      <c r="A255" s="3" t="s">
        <v>1379</v>
      </c>
      <c r="B255" s="3" t="s">
        <v>1228</v>
      </c>
      <c r="C255" s="3" t="s">
        <v>1380</v>
      </c>
      <c r="E255" s="3" t="s">
        <v>71</v>
      </c>
      <c r="F255" s="3">
        <f t="shared" si="0"/>
        <v>2</v>
      </c>
      <c r="G255" s="3" t="s">
        <v>72</v>
      </c>
      <c r="H255" s="3">
        <f t="shared" si="1"/>
        <v>2</v>
      </c>
      <c r="I255" s="3" t="s">
        <v>73</v>
      </c>
      <c r="J255" s="3" t="s">
        <v>212</v>
      </c>
      <c r="L255" s="3" t="s">
        <v>1381</v>
      </c>
      <c r="M255" s="3" t="s">
        <v>97</v>
      </c>
      <c r="N255" s="3" t="s">
        <v>98</v>
      </c>
      <c r="O255" s="3" t="s">
        <v>78</v>
      </c>
      <c r="P255" s="3" t="s">
        <v>79</v>
      </c>
      <c r="Q255" s="3" t="s">
        <v>1382</v>
      </c>
      <c r="S255" s="18">
        <v>0</v>
      </c>
      <c r="T255" s="18">
        <v>22.65</v>
      </c>
      <c r="U255" s="18">
        <v>31.62</v>
      </c>
      <c r="V255" s="3" t="s">
        <v>95</v>
      </c>
      <c r="AB255" s="3">
        <v>200</v>
      </c>
      <c r="AC255" s="3" t="s">
        <v>81</v>
      </c>
      <c r="AD255" s="8">
        <v>35.049999999999997</v>
      </c>
      <c r="AE255" s="8">
        <v>-90.45</v>
      </c>
      <c r="AH255" s="3">
        <v>2008</v>
      </c>
      <c r="AI255" s="3">
        <v>9</v>
      </c>
      <c r="AJ255" s="8">
        <v>12</v>
      </c>
      <c r="AK255" s="3">
        <v>2008</v>
      </c>
      <c r="AL255" s="3">
        <v>9</v>
      </c>
      <c r="AM255" s="3">
        <v>16</v>
      </c>
      <c r="AN255" s="29">
        <v>82</v>
      </c>
      <c r="AP255" s="3">
        <v>200000</v>
      </c>
      <c r="AR255" s="3">
        <v>200000</v>
      </c>
      <c r="AU255" s="3">
        <v>15000000</v>
      </c>
      <c r="AV255" s="3">
        <v>20389093</v>
      </c>
      <c r="AW255" s="3">
        <v>30000000</v>
      </c>
      <c r="AX255" s="3">
        <v>40778186</v>
      </c>
      <c r="AY255" s="3">
        <v>73.568745535504604</v>
      </c>
      <c r="AZ255" s="3" t="s">
        <v>206</v>
      </c>
      <c r="BA255" s="3" t="s">
        <v>1383</v>
      </c>
      <c r="BB255" s="3" t="s">
        <v>1384</v>
      </c>
      <c r="BC255" s="3" t="s">
        <v>1385</v>
      </c>
      <c r="BD255" s="8">
        <v>6</v>
      </c>
    </row>
    <row r="256" spans="1:56" ht="14.25" customHeight="1" thickBot="1">
      <c r="A256" s="3" t="s">
        <v>1386</v>
      </c>
      <c r="B256" s="3" t="s">
        <v>1228</v>
      </c>
      <c r="C256" s="3" t="s">
        <v>723</v>
      </c>
      <c r="E256" s="3" t="s">
        <v>71</v>
      </c>
      <c r="F256" s="3">
        <f t="shared" si="0"/>
        <v>2</v>
      </c>
      <c r="G256" s="3" t="s">
        <v>72</v>
      </c>
      <c r="H256" s="3">
        <f t="shared" si="1"/>
        <v>2</v>
      </c>
      <c r="I256" s="3" t="s">
        <v>73</v>
      </c>
      <c r="J256" s="3" t="s">
        <v>74</v>
      </c>
      <c r="K256" s="3" t="s">
        <v>75</v>
      </c>
      <c r="M256" s="3" t="s">
        <v>97</v>
      </c>
      <c r="N256" s="3" t="s">
        <v>98</v>
      </c>
      <c r="O256" s="3" t="s">
        <v>78</v>
      </c>
      <c r="P256" s="3" t="s">
        <v>79</v>
      </c>
      <c r="Q256" s="3" t="s">
        <v>1387</v>
      </c>
      <c r="S256" s="18">
        <v>0</v>
      </c>
      <c r="T256" s="18">
        <v>0.49</v>
      </c>
      <c r="U256" s="18">
        <v>22.81</v>
      </c>
      <c r="AC256" s="3" t="s">
        <v>81</v>
      </c>
      <c r="AD256" s="6">
        <v>35.204889999999999</v>
      </c>
      <c r="AE256" s="6">
        <v>-92.447911000000005</v>
      </c>
      <c r="AH256" s="3">
        <v>2008</v>
      </c>
      <c r="AI256" s="3">
        <v>1</v>
      </c>
      <c r="AJ256" s="8">
        <v>29</v>
      </c>
      <c r="AK256" s="3">
        <v>2008</v>
      </c>
      <c r="AL256" s="3">
        <v>1</v>
      </c>
      <c r="AM256" s="3">
        <v>30</v>
      </c>
      <c r="AN256" s="29">
        <v>4</v>
      </c>
      <c r="AW256" s="3">
        <v>600000</v>
      </c>
      <c r="AX256" s="3">
        <v>815564</v>
      </c>
      <c r="AY256" s="3">
        <v>73.568745535504604</v>
      </c>
      <c r="AZ256" s="3" t="s">
        <v>89</v>
      </c>
      <c r="BA256" s="3" t="s">
        <v>1388</v>
      </c>
      <c r="BC256" s="3" t="s">
        <v>1389</v>
      </c>
      <c r="BD256" s="8">
        <v>0</v>
      </c>
    </row>
    <row r="257" spans="1:56" ht="14.25" customHeight="1" thickBot="1">
      <c r="A257" s="3" t="s">
        <v>1390</v>
      </c>
      <c r="B257" s="3" t="s">
        <v>1228</v>
      </c>
      <c r="C257" s="3" t="s">
        <v>414</v>
      </c>
      <c r="E257" s="3" t="s">
        <v>71</v>
      </c>
      <c r="F257" s="3">
        <f t="shared" si="0"/>
        <v>2</v>
      </c>
      <c r="G257" s="3" t="s">
        <v>72</v>
      </c>
      <c r="H257" s="3">
        <f t="shared" si="1"/>
        <v>2</v>
      </c>
      <c r="I257" s="3" t="s">
        <v>73</v>
      </c>
      <c r="J257" s="3" t="s">
        <v>74</v>
      </c>
      <c r="K257" s="3" t="s">
        <v>75</v>
      </c>
      <c r="M257" s="3" t="s">
        <v>97</v>
      </c>
      <c r="N257" s="3" t="s">
        <v>98</v>
      </c>
      <c r="O257" s="3" t="s">
        <v>78</v>
      </c>
      <c r="P257" s="3" t="s">
        <v>79</v>
      </c>
      <c r="Q257" s="3" t="s">
        <v>1391</v>
      </c>
      <c r="S257" s="18">
        <v>11.7</v>
      </c>
      <c r="T257" s="18">
        <v>10.91</v>
      </c>
      <c r="U257" s="18">
        <v>20.81</v>
      </c>
      <c r="AC257" s="3" t="s">
        <v>81</v>
      </c>
      <c r="AD257" s="6">
        <v>35.204889999999999</v>
      </c>
      <c r="AE257" s="6">
        <v>-92.447911000000005</v>
      </c>
      <c r="AH257" s="3">
        <v>2008</v>
      </c>
      <c r="AI257" s="3">
        <v>4</v>
      </c>
      <c r="AJ257" s="8">
        <v>9</v>
      </c>
      <c r="AK257" s="3">
        <v>2008</v>
      </c>
      <c r="AL257" s="3">
        <v>4</v>
      </c>
      <c r="AM257" s="3">
        <v>11</v>
      </c>
      <c r="AN257" s="29">
        <v>3</v>
      </c>
      <c r="AU257" s="3">
        <v>800000</v>
      </c>
      <c r="AV257" s="3">
        <v>1087418</v>
      </c>
      <c r="AW257" s="3">
        <v>1100000</v>
      </c>
      <c r="AX257" s="3">
        <v>1495200</v>
      </c>
      <c r="AY257" s="3">
        <v>73.568745535504604</v>
      </c>
      <c r="AZ257" s="3" t="s">
        <v>89</v>
      </c>
      <c r="BA257" s="3" t="s">
        <v>1392</v>
      </c>
      <c r="BC257" s="3" t="s">
        <v>1393</v>
      </c>
      <c r="BD257" s="8">
        <v>0</v>
      </c>
    </row>
    <row r="258" spans="1:56" ht="14.25" customHeight="1" thickBot="1">
      <c r="A258" s="3" t="s">
        <v>1394</v>
      </c>
      <c r="B258" s="3" t="s">
        <v>1228</v>
      </c>
      <c r="C258" s="3" t="s">
        <v>1395</v>
      </c>
      <c r="E258" s="3" t="s">
        <v>71</v>
      </c>
      <c r="F258" s="3">
        <f t="shared" si="0"/>
        <v>2</v>
      </c>
      <c r="G258" s="3" t="s">
        <v>72</v>
      </c>
      <c r="H258" s="3">
        <f t="shared" si="1"/>
        <v>2</v>
      </c>
      <c r="I258" s="3" t="s">
        <v>73</v>
      </c>
      <c r="J258" s="3" t="s">
        <v>74</v>
      </c>
      <c r="K258" s="3" t="s">
        <v>75</v>
      </c>
      <c r="M258" s="3" t="s">
        <v>97</v>
      </c>
      <c r="N258" s="3" t="s">
        <v>98</v>
      </c>
      <c r="O258" s="3" t="s">
        <v>78</v>
      </c>
      <c r="P258" s="3" t="s">
        <v>79</v>
      </c>
      <c r="Q258" s="3" t="s">
        <v>1396</v>
      </c>
      <c r="S258" s="18">
        <v>22.84</v>
      </c>
      <c r="T258" s="16">
        <v>13.69</v>
      </c>
      <c r="U258" s="18">
        <v>21.73</v>
      </c>
      <c r="AB258" s="3">
        <v>240</v>
      </c>
      <c r="AC258" s="3" t="s">
        <v>81</v>
      </c>
      <c r="AD258" s="5">
        <v>36.729329645383302</v>
      </c>
      <c r="AE258" s="17">
        <v>-76.602423214376302</v>
      </c>
      <c r="AH258" s="3">
        <v>2008</v>
      </c>
      <c r="AI258" s="3">
        <v>4</v>
      </c>
      <c r="AJ258" s="8">
        <v>28</v>
      </c>
      <c r="AK258" s="3">
        <v>2008</v>
      </c>
      <c r="AL258" s="3">
        <v>4</v>
      </c>
      <c r="AM258" s="3">
        <v>28</v>
      </c>
      <c r="AN258" s="29">
        <v>0</v>
      </c>
      <c r="AO258" s="3">
        <v>200</v>
      </c>
      <c r="AR258" s="3">
        <v>200</v>
      </c>
      <c r="AU258" s="3">
        <v>62500</v>
      </c>
      <c r="AV258" s="3">
        <v>84955</v>
      </c>
      <c r="AW258" s="3">
        <v>110000</v>
      </c>
      <c r="AX258" s="3">
        <v>149520</v>
      </c>
      <c r="AY258" s="3">
        <v>73.568745535504604</v>
      </c>
      <c r="AZ258" s="3" t="s">
        <v>82</v>
      </c>
      <c r="BB258" s="3" t="s">
        <v>1397</v>
      </c>
      <c r="BC258" s="3" t="s">
        <v>1398</v>
      </c>
      <c r="BD258" s="8">
        <v>3</v>
      </c>
    </row>
    <row r="259" spans="1:56" ht="14.25" customHeight="1" thickBot="1">
      <c r="A259" s="3" t="s">
        <v>1399</v>
      </c>
      <c r="B259" s="3" t="s">
        <v>1228</v>
      </c>
      <c r="C259" s="3" t="s">
        <v>1400</v>
      </c>
      <c r="E259" s="3" t="s">
        <v>71</v>
      </c>
      <c r="F259" s="3">
        <f t="shared" si="0"/>
        <v>2</v>
      </c>
      <c r="G259" s="3" t="s">
        <v>72</v>
      </c>
      <c r="H259" s="3">
        <f t="shared" si="1"/>
        <v>2</v>
      </c>
      <c r="I259" s="3" t="s">
        <v>73</v>
      </c>
      <c r="J259" s="3" t="s">
        <v>74</v>
      </c>
      <c r="K259" s="3" t="s">
        <v>127</v>
      </c>
      <c r="M259" s="3" t="s">
        <v>97</v>
      </c>
      <c r="N259" s="3" t="s">
        <v>98</v>
      </c>
      <c r="O259" s="3" t="s">
        <v>78</v>
      </c>
      <c r="P259" s="3" t="s">
        <v>79</v>
      </c>
      <c r="Q259" s="3" t="s">
        <v>1401</v>
      </c>
      <c r="S259" s="18">
        <v>61.37</v>
      </c>
      <c r="T259" s="18">
        <v>-0.9</v>
      </c>
      <c r="U259" s="18">
        <v>2.94</v>
      </c>
      <c r="AC259" s="3" t="s">
        <v>81</v>
      </c>
      <c r="AD259" s="6">
        <v>42.378880000000002</v>
      </c>
      <c r="AE259" s="6">
        <v>-72.032365999999996</v>
      </c>
      <c r="AH259" s="3">
        <v>2008</v>
      </c>
      <c r="AI259" s="3">
        <v>12</v>
      </c>
      <c r="AJ259" s="8">
        <v>11</v>
      </c>
      <c r="AK259" s="3">
        <v>2008</v>
      </c>
      <c r="AL259" s="3">
        <v>12</v>
      </c>
      <c r="AM259" s="3">
        <v>22</v>
      </c>
      <c r="AN259" s="29">
        <v>5</v>
      </c>
      <c r="AU259" s="3">
        <v>275000</v>
      </c>
      <c r="AV259" s="3">
        <v>373800</v>
      </c>
      <c r="AW259" s="3">
        <v>360000</v>
      </c>
      <c r="AX259" s="3">
        <v>489338</v>
      </c>
      <c r="AY259" s="3">
        <v>73.568745535504604</v>
      </c>
      <c r="AZ259" s="3" t="s">
        <v>89</v>
      </c>
      <c r="BA259" s="3" t="s">
        <v>1402</v>
      </c>
      <c r="BC259" s="3" t="s">
        <v>1403</v>
      </c>
      <c r="BD259" s="8">
        <v>0</v>
      </c>
    </row>
    <row r="260" spans="1:56" ht="14.25" customHeight="1" thickBot="1">
      <c r="A260" s="3" t="s">
        <v>1404</v>
      </c>
      <c r="B260" s="3" t="s">
        <v>1228</v>
      </c>
      <c r="C260" s="3" t="s">
        <v>1405</v>
      </c>
      <c r="E260" s="3" t="s">
        <v>71</v>
      </c>
      <c r="F260" s="3">
        <f t="shared" si="0"/>
        <v>2</v>
      </c>
      <c r="G260" s="3" t="s">
        <v>72</v>
      </c>
      <c r="H260" s="3">
        <f t="shared" si="1"/>
        <v>4</v>
      </c>
      <c r="I260" s="3" t="s">
        <v>219</v>
      </c>
      <c r="J260" s="3" t="s">
        <v>1406</v>
      </c>
      <c r="K260" s="3" t="s">
        <v>1407</v>
      </c>
      <c r="M260" s="3" t="s">
        <v>97</v>
      </c>
      <c r="N260" s="3" t="s">
        <v>98</v>
      </c>
      <c r="O260" s="3" t="s">
        <v>78</v>
      </c>
      <c r="P260" s="3" t="s">
        <v>79</v>
      </c>
      <c r="Q260" s="3" t="s">
        <v>1408</v>
      </c>
      <c r="S260" s="18">
        <v>61.37</v>
      </c>
      <c r="T260" s="18">
        <v>-0.9</v>
      </c>
      <c r="U260" s="18">
        <v>2.94</v>
      </c>
      <c r="Z260" s="3" t="s">
        <v>264</v>
      </c>
      <c r="AC260" s="3" t="s">
        <v>222</v>
      </c>
      <c r="AD260" s="6">
        <v>42.378880000000002</v>
      </c>
      <c r="AE260" s="6">
        <v>-72.032365999999996</v>
      </c>
      <c r="AH260" s="3">
        <v>2008</v>
      </c>
      <c r="AI260" s="3">
        <v>12</v>
      </c>
      <c r="AJ260" s="8">
        <v>11</v>
      </c>
      <c r="AK260" s="3">
        <v>2008</v>
      </c>
      <c r="AL260" s="3">
        <v>12</v>
      </c>
      <c r="AM260" s="3">
        <v>14</v>
      </c>
      <c r="AN260" s="29">
        <v>0</v>
      </c>
      <c r="AY260" s="3">
        <v>73.568745535504604</v>
      </c>
      <c r="AZ260" s="3" t="s">
        <v>89</v>
      </c>
      <c r="BA260" s="3" t="s">
        <v>1402</v>
      </c>
      <c r="BC260" s="3" t="s">
        <v>1403</v>
      </c>
      <c r="BD260" s="8">
        <v>0</v>
      </c>
    </row>
    <row r="261" spans="1:56" ht="14.25" customHeight="1" thickBot="1">
      <c r="A261" s="3" t="s">
        <v>1409</v>
      </c>
      <c r="B261" s="3" t="s">
        <v>1228</v>
      </c>
      <c r="C261" s="3" t="s">
        <v>293</v>
      </c>
      <c r="E261" s="3" t="s">
        <v>71</v>
      </c>
      <c r="F261" s="3">
        <f t="shared" si="0"/>
        <v>5</v>
      </c>
      <c r="G261" s="3" t="s">
        <v>175</v>
      </c>
      <c r="H261" s="3">
        <f t="shared" si="1"/>
        <v>6</v>
      </c>
      <c r="I261" s="3" t="s">
        <v>176</v>
      </c>
      <c r="J261" s="3" t="s">
        <v>177</v>
      </c>
      <c r="M261" s="3" t="s">
        <v>97</v>
      </c>
      <c r="N261" s="3" t="s">
        <v>98</v>
      </c>
      <c r="O261" s="3" t="s">
        <v>78</v>
      </c>
      <c r="P261" s="3" t="s">
        <v>79</v>
      </c>
      <c r="Q261" s="3" t="s">
        <v>1410</v>
      </c>
      <c r="S261" s="18">
        <v>2.54</v>
      </c>
      <c r="T261" s="18">
        <v>-3.96</v>
      </c>
      <c r="U261" s="18">
        <v>4.46</v>
      </c>
      <c r="AB261" s="3">
        <v>6</v>
      </c>
      <c r="AC261" s="3" t="s">
        <v>179</v>
      </c>
      <c r="AD261" s="8">
        <v>41.144399999999997</v>
      </c>
      <c r="AE261" s="8">
        <v>-114.8721</v>
      </c>
      <c r="AF261" s="3" t="s">
        <v>1411</v>
      </c>
      <c r="AH261" s="3">
        <v>2008</v>
      </c>
      <c r="AI261" s="3">
        <v>2</v>
      </c>
      <c r="AJ261" s="8">
        <v>21</v>
      </c>
      <c r="AK261" s="3">
        <v>2008</v>
      </c>
      <c r="AL261" s="3">
        <v>2</v>
      </c>
      <c r="AM261" s="3">
        <v>21</v>
      </c>
      <c r="AN261" s="29">
        <v>0</v>
      </c>
      <c r="AO261" s="3">
        <v>3</v>
      </c>
      <c r="AP261" s="3">
        <v>2100</v>
      </c>
      <c r="AR261" s="3">
        <v>2103</v>
      </c>
      <c r="AY261" s="3">
        <v>73.568745535504604</v>
      </c>
      <c r="AZ261" s="3" t="s">
        <v>82</v>
      </c>
      <c r="BB261" s="3" t="s">
        <v>1412</v>
      </c>
      <c r="BC261" s="3" t="s">
        <v>1413</v>
      </c>
      <c r="BD261" s="8">
        <v>4</v>
      </c>
    </row>
    <row r="262" spans="1:56" ht="14.25" customHeight="1" thickBot="1">
      <c r="A262" s="3" t="s">
        <v>1414</v>
      </c>
      <c r="B262" s="3" t="s">
        <v>1228</v>
      </c>
      <c r="C262" s="3" t="s">
        <v>1415</v>
      </c>
      <c r="E262" s="3" t="s">
        <v>71</v>
      </c>
      <c r="F262" s="3">
        <f t="shared" si="0"/>
        <v>1</v>
      </c>
      <c r="G262" s="3" t="s">
        <v>94</v>
      </c>
      <c r="H262" s="3">
        <f t="shared" si="1"/>
        <v>1</v>
      </c>
      <c r="I262" s="3" t="s">
        <v>95</v>
      </c>
      <c r="J262" s="3" t="s">
        <v>96</v>
      </c>
      <c r="M262" s="3" t="s">
        <v>97</v>
      </c>
      <c r="N262" s="3" t="s">
        <v>98</v>
      </c>
      <c r="O262" s="3" t="s">
        <v>78</v>
      </c>
      <c r="P262" s="3" t="s">
        <v>79</v>
      </c>
      <c r="Q262" s="3" t="s">
        <v>1416</v>
      </c>
      <c r="R262" s="3" t="s">
        <v>200</v>
      </c>
      <c r="S262" s="18">
        <v>12.17</v>
      </c>
      <c r="T262" s="18">
        <v>1.98</v>
      </c>
      <c r="U262" s="18">
        <v>8.82</v>
      </c>
      <c r="AB262" s="3">
        <v>35110</v>
      </c>
      <c r="AC262" s="3" t="s">
        <v>102</v>
      </c>
      <c r="AD262" s="8">
        <v>42.84</v>
      </c>
      <c r="AE262" s="8">
        <v>-123.77</v>
      </c>
      <c r="AG262" s="3" t="s">
        <v>1417</v>
      </c>
      <c r="AH262" s="3">
        <v>2008</v>
      </c>
      <c r="AI262" s="3">
        <v>12</v>
      </c>
      <c r="AJ262" s="8">
        <v>29</v>
      </c>
      <c r="AK262" s="3">
        <v>2009</v>
      </c>
      <c r="AL262" s="3">
        <v>1</v>
      </c>
      <c r="AM262" s="3">
        <v>16</v>
      </c>
      <c r="AN262" s="29">
        <v>0</v>
      </c>
      <c r="AP262" s="3">
        <v>30000</v>
      </c>
      <c r="AR262" s="3">
        <v>30000</v>
      </c>
      <c r="AY262" s="3">
        <v>73.568745535504604</v>
      </c>
      <c r="AZ262" s="3" t="s">
        <v>206</v>
      </c>
      <c r="BA262" s="3" t="s">
        <v>596</v>
      </c>
      <c r="BB262" s="3" t="s">
        <v>1418</v>
      </c>
      <c r="BC262" s="3" t="s">
        <v>1419</v>
      </c>
      <c r="BD262" s="8">
        <v>5</v>
      </c>
    </row>
    <row r="263" spans="1:56" ht="14.25" customHeight="1" thickBot="1">
      <c r="A263" s="3" t="s">
        <v>1420</v>
      </c>
      <c r="B263" s="3" t="s">
        <v>1228</v>
      </c>
      <c r="C263" s="3" t="s">
        <v>553</v>
      </c>
      <c r="E263" s="3" t="s">
        <v>71</v>
      </c>
      <c r="F263" s="3">
        <f t="shared" ref="F263:F517" si="2">IF(G263="Hydrological",1,IF(G263="Meteorological",2,IF(G263="Climatological",3,IF(G263="Biological",4,5))))</f>
        <v>2</v>
      </c>
      <c r="G263" s="3" t="s">
        <v>72</v>
      </c>
      <c r="H263" s="3">
        <f t="shared" ref="H263:H517" si="3">IF(I263="Flood",1,IF(I263="Storm",2,IF(I263="Wildfire",3,IF(I263="Extreme temperature",4,IF(I263="Epidemic",5,IF(I263="Earthquake",6,IF(I263="Drought",7,IF(I263="Landslide",8,9))))))))</f>
        <v>2</v>
      </c>
      <c r="I263" s="3" t="s">
        <v>73</v>
      </c>
      <c r="J263" s="3" t="s">
        <v>1421</v>
      </c>
      <c r="M263" s="3" t="s">
        <v>97</v>
      </c>
      <c r="N263" s="3" t="s">
        <v>98</v>
      </c>
      <c r="O263" s="3" t="s">
        <v>78</v>
      </c>
      <c r="P263" s="3" t="s">
        <v>79</v>
      </c>
      <c r="Q263" s="3" t="s">
        <v>1422</v>
      </c>
      <c r="S263" s="18">
        <v>0</v>
      </c>
      <c r="T263" s="18">
        <v>-7.48</v>
      </c>
      <c r="U263" s="18">
        <v>12.17</v>
      </c>
      <c r="AB263" s="3">
        <v>175</v>
      </c>
      <c r="AC263" s="3" t="s">
        <v>81</v>
      </c>
      <c r="AD263" s="6">
        <v>35.204889999999999</v>
      </c>
      <c r="AE263" s="6">
        <v>-92.447911000000005</v>
      </c>
      <c r="AH263" s="3">
        <v>2008</v>
      </c>
      <c r="AI263" s="3">
        <v>1</v>
      </c>
      <c r="AJ263" s="8">
        <v>4</v>
      </c>
      <c r="AK263" s="3">
        <v>2008</v>
      </c>
      <c r="AL263" s="3">
        <v>1</v>
      </c>
      <c r="AM263" s="3">
        <v>9</v>
      </c>
      <c r="AN263" s="29">
        <v>12</v>
      </c>
      <c r="AU263" s="3">
        <v>745000</v>
      </c>
      <c r="AV263" s="3">
        <v>1012658</v>
      </c>
      <c r="AW263" s="3">
        <v>1000000</v>
      </c>
      <c r="AX263" s="3">
        <v>1359273</v>
      </c>
      <c r="AY263" s="3">
        <v>73.568745535504604</v>
      </c>
      <c r="AZ263" s="3" t="s">
        <v>89</v>
      </c>
      <c r="BA263" s="3" t="s">
        <v>1423</v>
      </c>
      <c r="BC263" s="3" t="s">
        <v>1424</v>
      </c>
      <c r="BD263" s="8">
        <v>0</v>
      </c>
    </row>
    <row r="264" spans="1:56" ht="14.25" customHeight="1" thickBot="1">
      <c r="A264" s="3" t="s">
        <v>1425</v>
      </c>
      <c r="B264" s="3" t="s">
        <v>1228</v>
      </c>
      <c r="C264" s="3" t="s">
        <v>1426</v>
      </c>
      <c r="D264" s="3" t="s">
        <v>1427</v>
      </c>
      <c r="E264" s="3" t="s">
        <v>71</v>
      </c>
      <c r="F264" s="3">
        <f t="shared" si="2"/>
        <v>2</v>
      </c>
      <c r="G264" s="3" t="s">
        <v>72</v>
      </c>
      <c r="H264" s="3">
        <f t="shared" si="3"/>
        <v>2</v>
      </c>
      <c r="I264" s="3" t="s">
        <v>73</v>
      </c>
      <c r="J264" s="3" t="s">
        <v>212</v>
      </c>
      <c r="L264" s="3" t="s">
        <v>1428</v>
      </c>
      <c r="M264" s="3" t="s">
        <v>97</v>
      </c>
      <c r="N264" s="3" t="s">
        <v>98</v>
      </c>
      <c r="O264" s="3" t="s">
        <v>78</v>
      </c>
      <c r="P264" s="3" t="s">
        <v>79</v>
      </c>
      <c r="Q264" s="3" t="s">
        <v>1429</v>
      </c>
      <c r="S264" s="18">
        <v>138.11000000000001</v>
      </c>
      <c r="T264" s="18">
        <v>22.96</v>
      </c>
      <c r="U264" s="18">
        <v>27.27</v>
      </c>
      <c r="AC264" s="3" t="s">
        <v>81</v>
      </c>
      <c r="AD264" s="5">
        <v>30.6158742423594</v>
      </c>
      <c r="AE264" s="17">
        <v>-91.8761436920949</v>
      </c>
      <c r="AH264" s="3">
        <v>2008</v>
      </c>
      <c r="AI264" s="3">
        <v>9</v>
      </c>
      <c r="AJ264" s="8">
        <v>1</v>
      </c>
      <c r="AK264" s="3">
        <v>2008</v>
      </c>
      <c r="AL264" s="3">
        <v>9</v>
      </c>
      <c r="AM264" s="3">
        <v>1</v>
      </c>
      <c r="AN264" s="29">
        <v>43</v>
      </c>
      <c r="AP264" s="3">
        <v>2100000</v>
      </c>
      <c r="AR264" s="3">
        <v>2100000</v>
      </c>
      <c r="AU264" s="3">
        <v>3500000</v>
      </c>
      <c r="AV264" s="3">
        <v>4757455</v>
      </c>
      <c r="AW264" s="3">
        <v>7000000</v>
      </c>
      <c r="AX264" s="3">
        <v>9514910</v>
      </c>
      <c r="AY264" s="3">
        <v>73.568745535504604</v>
      </c>
      <c r="AZ264" s="3" t="s">
        <v>89</v>
      </c>
      <c r="BA264" s="3" t="s">
        <v>1430</v>
      </c>
      <c r="BC264" s="3" t="s">
        <v>1431</v>
      </c>
      <c r="BD264" s="8">
        <v>7</v>
      </c>
    </row>
    <row r="265" spans="1:56" ht="14.25" customHeight="1" thickBot="1">
      <c r="A265" s="3" t="s">
        <v>1432</v>
      </c>
      <c r="B265" s="3" t="s">
        <v>1228</v>
      </c>
      <c r="C265" s="3" t="s">
        <v>1433</v>
      </c>
      <c r="E265" s="3" t="s">
        <v>71</v>
      </c>
      <c r="F265" s="3">
        <f t="shared" si="2"/>
        <v>2</v>
      </c>
      <c r="G265" s="3" t="s">
        <v>72</v>
      </c>
      <c r="H265" s="3">
        <f t="shared" si="3"/>
        <v>2</v>
      </c>
      <c r="I265" s="3" t="s">
        <v>73</v>
      </c>
      <c r="J265" s="3" t="s">
        <v>212</v>
      </c>
      <c r="L265" s="3" t="s">
        <v>1434</v>
      </c>
      <c r="M265" s="3" t="s">
        <v>97</v>
      </c>
      <c r="N265" s="3" t="s">
        <v>98</v>
      </c>
      <c r="O265" s="3" t="s">
        <v>78</v>
      </c>
      <c r="P265" s="3" t="s">
        <v>79</v>
      </c>
      <c r="Q265" s="3" t="s">
        <v>1435</v>
      </c>
      <c r="S265" s="18">
        <v>0</v>
      </c>
      <c r="T265" s="18">
        <v>23.49</v>
      </c>
      <c r="U265" s="18">
        <v>33.979999999999997</v>
      </c>
      <c r="Z265" s="3" t="s">
        <v>264</v>
      </c>
      <c r="AC265" s="3" t="s">
        <v>81</v>
      </c>
      <c r="AD265" s="6">
        <v>27.756769999999999</v>
      </c>
      <c r="AE265" s="6">
        <v>-81.463982999999999</v>
      </c>
      <c r="AH265" s="3">
        <v>2008</v>
      </c>
      <c r="AI265" s="3">
        <v>8</v>
      </c>
      <c r="AJ265" s="8">
        <v>28</v>
      </c>
      <c r="AK265" s="3">
        <v>2008</v>
      </c>
      <c r="AL265" s="3">
        <v>8</v>
      </c>
      <c r="AM265" s="3">
        <v>28</v>
      </c>
      <c r="AN265" s="29">
        <v>7</v>
      </c>
      <c r="AW265" s="3">
        <v>160000</v>
      </c>
      <c r="AX265" s="3">
        <v>217484</v>
      </c>
      <c r="AY265" s="3">
        <v>73.568745535504604</v>
      </c>
      <c r="AZ265" s="3" t="s">
        <v>89</v>
      </c>
      <c r="BA265" s="3" t="s">
        <v>1436</v>
      </c>
      <c r="BC265" s="3" t="s">
        <v>1437</v>
      </c>
      <c r="BD265" s="8">
        <v>0</v>
      </c>
    </row>
    <row r="266" spans="1:56" ht="14.25" customHeight="1" thickBot="1">
      <c r="A266" s="3" t="s">
        <v>1438</v>
      </c>
      <c r="B266" s="3" t="s">
        <v>1228</v>
      </c>
      <c r="C266" s="3" t="s">
        <v>1439</v>
      </c>
      <c r="E266" s="3" t="s">
        <v>71</v>
      </c>
      <c r="F266" s="3">
        <f t="shared" si="2"/>
        <v>3</v>
      </c>
      <c r="G266" s="3" t="s">
        <v>119</v>
      </c>
      <c r="H266" s="3">
        <f t="shared" si="3"/>
        <v>3</v>
      </c>
      <c r="I266" s="3" t="s">
        <v>122</v>
      </c>
      <c r="J266" s="3" t="s">
        <v>227</v>
      </c>
      <c r="M266" s="3" t="s">
        <v>97</v>
      </c>
      <c r="N266" s="3" t="s">
        <v>98</v>
      </c>
      <c r="O266" s="3" t="s">
        <v>78</v>
      </c>
      <c r="P266" s="3" t="s">
        <v>79</v>
      </c>
      <c r="Q266" s="3" t="s">
        <v>1188</v>
      </c>
      <c r="R266" s="3" t="s">
        <v>1440</v>
      </c>
      <c r="S266" s="16">
        <v>0</v>
      </c>
      <c r="T266" s="18">
        <v>14.01</v>
      </c>
      <c r="U266" s="18">
        <v>34.950000000000003</v>
      </c>
      <c r="Z266" s="3" t="s">
        <v>264</v>
      </c>
      <c r="AB266" s="3">
        <v>3500</v>
      </c>
      <c r="AC266" s="3" t="s">
        <v>102</v>
      </c>
      <c r="AD266" s="8">
        <v>39.630000000000003</v>
      </c>
      <c r="AE266" s="8">
        <v>-119.2</v>
      </c>
      <c r="AH266" s="3">
        <v>2008</v>
      </c>
      <c r="AI266" s="3">
        <v>6</v>
      </c>
      <c r="AJ266" s="8">
        <v>20</v>
      </c>
      <c r="AK266" s="3">
        <v>2008</v>
      </c>
      <c r="AL266" s="3">
        <v>7</v>
      </c>
      <c r="AM266" s="3">
        <v>9</v>
      </c>
      <c r="AN266" s="29">
        <v>1</v>
      </c>
      <c r="AQ266" s="3">
        <v>300</v>
      </c>
      <c r="AR266" s="3">
        <v>300</v>
      </c>
      <c r="AW266" s="3">
        <v>102000</v>
      </c>
      <c r="AX266" s="3">
        <v>138646</v>
      </c>
      <c r="AY266" s="3">
        <v>73.568745535504604</v>
      </c>
      <c r="AZ266" s="3" t="s">
        <v>89</v>
      </c>
      <c r="BA266" s="3" t="s">
        <v>1189</v>
      </c>
      <c r="BC266" s="3" t="s">
        <v>1190</v>
      </c>
      <c r="BD266" s="8">
        <v>3</v>
      </c>
    </row>
    <row r="267" spans="1:56" ht="14.25" customHeight="1" thickBot="1">
      <c r="A267" s="3" t="s">
        <v>1441</v>
      </c>
      <c r="B267" s="3" t="s">
        <v>1228</v>
      </c>
      <c r="C267" s="3" t="s">
        <v>1442</v>
      </c>
      <c r="E267" s="3" t="s">
        <v>71</v>
      </c>
      <c r="F267" s="3">
        <f t="shared" si="2"/>
        <v>3</v>
      </c>
      <c r="G267" s="3" t="s">
        <v>119</v>
      </c>
      <c r="H267" s="3">
        <f t="shared" si="3"/>
        <v>3</v>
      </c>
      <c r="I267" s="3" t="s">
        <v>122</v>
      </c>
      <c r="M267" s="3" t="s">
        <v>97</v>
      </c>
      <c r="N267" s="3" t="s">
        <v>98</v>
      </c>
      <c r="O267" s="3" t="s">
        <v>78</v>
      </c>
      <c r="P267" s="3" t="s">
        <v>79</v>
      </c>
      <c r="Q267" s="3" t="s">
        <v>1443</v>
      </c>
      <c r="S267" s="18">
        <v>0</v>
      </c>
      <c r="T267" s="18">
        <v>13.15</v>
      </c>
      <c r="U267" s="18">
        <v>28.33</v>
      </c>
      <c r="Z267" s="3" t="s">
        <v>264</v>
      </c>
      <c r="AC267" s="3" t="s">
        <v>102</v>
      </c>
      <c r="AD267" s="10">
        <v>34.018009999999997</v>
      </c>
      <c r="AE267" s="11">
        <v>-118.252684</v>
      </c>
      <c r="AH267" s="3">
        <v>2008</v>
      </c>
      <c r="AI267" s="3">
        <v>11</v>
      </c>
      <c r="AJ267" s="8">
        <v>13</v>
      </c>
      <c r="AK267" s="3">
        <v>2008</v>
      </c>
      <c r="AL267" s="3">
        <v>11</v>
      </c>
      <c r="AM267" s="3">
        <v>18</v>
      </c>
      <c r="AN267" s="29">
        <v>0</v>
      </c>
      <c r="AO267" s="3">
        <v>20</v>
      </c>
      <c r="AP267" s="3">
        <v>55000</v>
      </c>
      <c r="AR267" s="3">
        <v>55020</v>
      </c>
      <c r="AU267" s="3">
        <v>600000</v>
      </c>
      <c r="AV267" s="3">
        <v>815564</v>
      </c>
      <c r="AW267" s="3">
        <v>2000000</v>
      </c>
      <c r="AX267" s="3">
        <v>2718546</v>
      </c>
      <c r="AY267" s="3">
        <v>73.568745535504604</v>
      </c>
      <c r="AZ267" s="3" t="s">
        <v>82</v>
      </c>
      <c r="BB267" s="3" t="s">
        <v>1444</v>
      </c>
      <c r="BC267" s="3" t="s">
        <v>1445</v>
      </c>
      <c r="BD267" s="8">
        <v>5</v>
      </c>
    </row>
    <row r="268" spans="1:56" ht="14.25" customHeight="1" thickBot="1">
      <c r="A268" s="3" t="s">
        <v>1446</v>
      </c>
      <c r="B268" s="3" t="s">
        <v>1241</v>
      </c>
      <c r="C268" s="3" t="s">
        <v>1447</v>
      </c>
      <c r="E268" s="3" t="s">
        <v>71</v>
      </c>
      <c r="F268" s="3">
        <f t="shared" si="2"/>
        <v>2</v>
      </c>
      <c r="G268" s="3" t="s">
        <v>72</v>
      </c>
      <c r="H268" s="3">
        <f t="shared" si="3"/>
        <v>2</v>
      </c>
      <c r="I268" s="3" t="s">
        <v>73</v>
      </c>
      <c r="J268" s="3" t="s">
        <v>74</v>
      </c>
      <c r="K268" s="3" t="s">
        <v>75</v>
      </c>
      <c r="M268" s="3" t="s">
        <v>97</v>
      </c>
      <c r="N268" s="3" t="s">
        <v>98</v>
      </c>
      <c r="O268" s="3" t="s">
        <v>78</v>
      </c>
      <c r="P268" s="3" t="s">
        <v>79</v>
      </c>
      <c r="Q268" s="3" t="s">
        <v>1448</v>
      </c>
      <c r="S268" s="18">
        <v>0</v>
      </c>
      <c r="T268" s="18">
        <v>10.92</v>
      </c>
      <c r="U268" s="18">
        <v>32.15</v>
      </c>
      <c r="V268" s="3" t="s">
        <v>1449</v>
      </c>
      <c r="Z268" s="3" t="s">
        <v>264</v>
      </c>
      <c r="AC268" s="3" t="s">
        <v>81</v>
      </c>
      <c r="AD268" s="8">
        <v>30.24</v>
      </c>
      <c r="AE268" s="8">
        <v>-98.66</v>
      </c>
      <c r="AH268" s="3">
        <v>2009</v>
      </c>
      <c r="AI268" s="3">
        <v>4</v>
      </c>
      <c r="AJ268" s="8">
        <v>9</v>
      </c>
      <c r="AK268" s="3">
        <v>2009</v>
      </c>
      <c r="AL268" s="3">
        <v>4</v>
      </c>
      <c r="AM268" s="3">
        <v>10</v>
      </c>
      <c r="AN268" s="29">
        <v>9</v>
      </c>
      <c r="AO268" s="3">
        <v>72</v>
      </c>
      <c r="AP268" s="3">
        <v>750</v>
      </c>
      <c r="AR268" s="3">
        <v>822</v>
      </c>
      <c r="AU268" s="3">
        <v>1150000</v>
      </c>
      <c r="AV268" s="3">
        <v>1568741</v>
      </c>
      <c r="AW268" s="3">
        <v>1700000</v>
      </c>
      <c r="AX268" s="3">
        <v>2319009</v>
      </c>
      <c r="AY268" s="3">
        <v>73.307176721938703</v>
      </c>
      <c r="AZ268" s="3" t="s">
        <v>89</v>
      </c>
      <c r="BA268" s="3" t="s">
        <v>1450</v>
      </c>
      <c r="BC268" s="3" t="s">
        <v>1451</v>
      </c>
      <c r="BD268" s="8">
        <v>3</v>
      </c>
    </row>
    <row r="269" spans="1:56" ht="14.25" customHeight="1" thickBot="1">
      <c r="A269" s="3" t="s">
        <v>1452</v>
      </c>
      <c r="B269" s="3" t="s">
        <v>1241</v>
      </c>
      <c r="C269" s="3" t="s">
        <v>573</v>
      </c>
      <c r="E269" s="3" t="s">
        <v>71</v>
      </c>
      <c r="F269" s="3">
        <f t="shared" si="2"/>
        <v>1</v>
      </c>
      <c r="G269" s="3" t="s">
        <v>94</v>
      </c>
      <c r="H269" s="3">
        <f t="shared" si="3"/>
        <v>1</v>
      </c>
      <c r="I269" s="3" t="s">
        <v>95</v>
      </c>
      <c r="J269" s="3" t="s">
        <v>96</v>
      </c>
      <c r="M269" s="3" t="s">
        <v>97</v>
      </c>
      <c r="N269" s="3" t="s">
        <v>98</v>
      </c>
      <c r="O269" s="3" t="s">
        <v>78</v>
      </c>
      <c r="P269" s="3" t="s">
        <v>79</v>
      </c>
      <c r="Q269" s="3" t="s">
        <v>1453</v>
      </c>
      <c r="R269" s="3" t="s">
        <v>100</v>
      </c>
      <c r="S269" s="18">
        <v>18.95</v>
      </c>
      <c r="T269" s="18">
        <v>12.73</v>
      </c>
      <c r="U269" s="18">
        <v>16.25</v>
      </c>
      <c r="V269" s="3" t="s">
        <v>101</v>
      </c>
      <c r="Z269" s="3" t="s">
        <v>264</v>
      </c>
      <c r="AB269" s="3">
        <v>16460</v>
      </c>
      <c r="AC269" s="3" t="s">
        <v>102</v>
      </c>
      <c r="AD269" s="8">
        <v>37.659999999999997</v>
      </c>
      <c r="AE269" s="8">
        <v>-81.28</v>
      </c>
      <c r="AH269" s="3">
        <v>2009</v>
      </c>
      <c r="AI269" s="3">
        <v>5</v>
      </c>
      <c r="AJ269" s="8">
        <v>3</v>
      </c>
      <c r="AK269" s="3">
        <v>2009</v>
      </c>
      <c r="AL269" s="3">
        <v>5</v>
      </c>
      <c r="AM269" s="3">
        <v>10</v>
      </c>
      <c r="AN269" s="29">
        <v>0</v>
      </c>
      <c r="AQ269" s="3">
        <v>900</v>
      </c>
      <c r="AR269" s="3">
        <v>900</v>
      </c>
      <c r="AY269" s="3">
        <v>73.307176721938703</v>
      </c>
      <c r="AZ269" s="3" t="s">
        <v>89</v>
      </c>
      <c r="BA269" s="3" t="s">
        <v>1454</v>
      </c>
      <c r="BC269" s="3" t="s">
        <v>1455</v>
      </c>
      <c r="BD269" s="8">
        <v>3</v>
      </c>
    </row>
    <row r="270" spans="1:56" ht="14.25" customHeight="1" thickBot="1">
      <c r="A270" s="3" t="s">
        <v>1456</v>
      </c>
      <c r="B270" s="3" t="s">
        <v>1241</v>
      </c>
      <c r="C270" s="3" t="s">
        <v>283</v>
      </c>
      <c r="E270" s="3" t="s">
        <v>71</v>
      </c>
      <c r="F270" s="3">
        <f t="shared" si="2"/>
        <v>1</v>
      </c>
      <c r="G270" s="3" t="s">
        <v>94</v>
      </c>
      <c r="H270" s="3">
        <f t="shared" si="3"/>
        <v>1</v>
      </c>
      <c r="I270" s="3" t="s">
        <v>95</v>
      </c>
      <c r="J270" s="3" t="s">
        <v>96</v>
      </c>
      <c r="M270" s="3" t="s">
        <v>97</v>
      </c>
      <c r="N270" s="3" t="s">
        <v>98</v>
      </c>
      <c r="O270" s="3" t="s">
        <v>78</v>
      </c>
      <c r="P270" s="3" t="s">
        <v>79</v>
      </c>
      <c r="Q270" s="3" t="s">
        <v>1457</v>
      </c>
      <c r="R270" s="3" t="s">
        <v>1458</v>
      </c>
      <c r="S270" s="18">
        <v>15.37</v>
      </c>
      <c r="T270" s="18">
        <v>-0.41</v>
      </c>
      <c r="U270" s="18">
        <v>3.88</v>
      </c>
      <c r="Z270" s="3" t="s">
        <v>264</v>
      </c>
      <c r="AB270" s="3">
        <v>39740</v>
      </c>
      <c r="AC270" s="3" t="s">
        <v>102</v>
      </c>
      <c r="AD270" s="8">
        <v>48.25</v>
      </c>
      <c r="AE270" s="8">
        <v>-97.03</v>
      </c>
      <c r="AG270" s="3" t="s">
        <v>1459</v>
      </c>
      <c r="AH270" s="3">
        <v>2009</v>
      </c>
      <c r="AI270" s="3">
        <v>3</v>
      </c>
      <c r="AJ270" s="8">
        <v>24</v>
      </c>
      <c r="AK270" s="3">
        <v>2009</v>
      </c>
      <c r="AL270" s="3">
        <v>4</v>
      </c>
      <c r="AM270" s="3">
        <v>20</v>
      </c>
      <c r="AN270" s="29">
        <v>2</v>
      </c>
      <c r="AO270" s="3">
        <v>60</v>
      </c>
      <c r="AP270" s="3">
        <v>5000</v>
      </c>
      <c r="AR270" s="3">
        <v>5060</v>
      </c>
      <c r="AW270" s="3">
        <v>166000</v>
      </c>
      <c r="AX270" s="3">
        <v>226444</v>
      </c>
      <c r="AY270" s="3">
        <v>73.307176721938703</v>
      </c>
      <c r="AZ270" s="3" t="s">
        <v>89</v>
      </c>
      <c r="BA270" s="3" t="s">
        <v>1460</v>
      </c>
      <c r="BC270" s="3" t="s">
        <v>1461</v>
      </c>
      <c r="BD270" s="8">
        <v>4</v>
      </c>
    </row>
    <row r="271" spans="1:56" ht="14.25" customHeight="1" thickBot="1">
      <c r="A271" s="3" t="s">
        <v>1462</v>
      </c>
      <c r="B271" s="3" t="s">
        <v>1241</v>
      </c>
      <c r="C271" s="3" t="s">
        <v>1463</v>
      </c>
      <c r="E271" s="3" t="s">
        <v>71</v>
      </c>
      <c r="F271" s="3">
        <f t="shared" si="2"/>
        <v>1</v>
      </c>
      <c r="G271" s="3" t="s">
        <v>94</v>
      </c>
      <c r="H271" s="3">
        <f t="shared" si="3"/>
        <v>1</v>
      </c>
      <c r="I271" s="3" t="s">
        <v>95</v>
      </c>
      <c r="J271" s="3" t="s">
        <v>96</v>
      </c>
      <c r="M271" s="3" t="s">
        <v>97</v>
      </c>
      <c r="N271" s="3" t="s">
        <v>98</v>
      </c>
      <c r="O271" s="3" t="s">
        <v>78</v>
      </c>
      <c r="P271" s="3" t="s">
        <v>79</v>
      </c>
      <c r="Q271" s="3" t="s">
        <v>455</v>
      </c>
      <c r="R271" s="3" t="s">
        <v>100</v>
      </c>
      <c r="S271" s="18">
        <v>0</v>
      </c>
      <c r="T271" s="18">
        <v>8.64</v>
      </c>
      <c r="U271" s="18">
        <v>20.75</v>
      </c>
      <c r="Z271" s="3" t="s">
        <v>264</v>
      </c>
      <c r="AB271" s="3">
        <v>82060</v>
      </c>
      <c r="AC271" s="3" t="s">
        <v>102</v>
      </c>
      <c r="AD271" s="8">
        <v>30.84</v>
      </c>
      <c r="AE271" s="8">
        <v>-85.23</v>
      </c>
      <c r="AH271" s="3">
        <v>2009</v>
      </c>
      <c r="AI271" s="3">
        <v>4</v>
      </c>
      <c r="AJ271" s="8">
        <v>6</v>
      </c>
      <c r="AK271" s="3">
        <v>2009</v>
      </c>
      <c r="AL271" s="3">
        <v>4</v>
      </c>
      <c r="AM271" s="3">
        <v>9</v>
      </c>
      <c r="AN271" s="29">
        <v>0</v>
      </c>
      <c r="AP271" s="3">
        <v>1000</v>
      </c>
      <c r="AR271" s="3">
        <v>1000</v>
      </c>
      <c r="AY271" s="3">
        <v>73.307176721938703</v>
      </c>
      <c r="AZ271" s="3" t="s">
        <v>89</v>
      </c>
      <c r="BA271" s="3" t="s">
        <v>456</v>
      </c>
      <c r="BC271" s="3" t="s">
        <v>457</v>
      </c>
      <c r="BD271" s="8">
        <v>4</v>
      </c>
    </row>
    <row r="272" spans="1:56" ht="14.25" customHeight="1" thickBot="1">
      <c r="A272" s="3" t="s">
        <v>1464</v>
      </c>
      <c r="B272" s="3" t="s">
        <v>1241</v>
      </c>
      <c r="C272" s="3" t="s">
        <v>1465</v>
      </c>
      <c r="E272" s="3" t="s">
        <v>71</v>
      </c>
      <c r="F272" s="3">
        <f t="shared" si="2"/>
        <v>2</v>
      </c>
      <c r="G272" s="3" t="s">
        <v>72</v>
      </c>
      <c r="H272" s="3">
        <f t="shared" si="3"/>
        <v>4</v>
      </c>
      <c r="I272" s="3" t="s">
        <v>219</v>
      </c>
      <c r="J272" s="3" t="s">
        <v>114</v>
      </c>
      <c r="M272" s="3" t="s">
        <v>97</v>
      </c>
      <c r="N272" s="3" t="s">
        <v>98</v>
      </c>
      <c r="O272" s="3" t="s">
        <v>78</v>
      </c>
      <c r="P272" s="3" t="s">
        <v>79</v>
      </c>
      <c r="Q272" s="3" t="s">
        <v>1466</v>
      </c>
      <c r="S272" s="18">
        <v>1.38</v>
      </c>
      <c r="T272" s="18">
        <v>6.98</v>
      </c>
      <c r="U272" s="18">
        <v>19.84</v>
      </c>
      <c r="AC272" s="3" t="s">
        <v>222</v>
      </c>
      <c r="AD272" s="8">
        <v>30.24</v>
      </c>
      <c r="AE272" s="8">
        <v>-98.66</v>
      </c>
      <c r="AH272" s="3">
        <v>2009</v>
      </c>
      <c r="AI272" s="3">
        <v>1</v>
      </c>
      <c r="AJ272" s="8">
        <v>26</v>
      </c>
      <c r="AK272" s="3">
        <v>2009</v>
      </c>
      <c r="AL272" s="3">
        <v>1</v>
      </c>
      <c r="AM272" s="3">
        <v>28</v>
      </c>
      <c r="AN272" s="29">
        <v>58</v>
      </c>
      <c r="AU272" s="3">
        <v>565000</v>
      </c>
      <c r="AV272" s="3">
        <v>770729</v>
      </c>
      <c r="AW272" s="3">
        <v>1100000</v>
      </c>
      <c r="AX272" s="3">
        <v>1500535</v>
      </c>
      <c r="AY272" s="3">
        <v>73.307176721938703</v>
      </c>
      <c r="AZ272" s="3" t="s">
        <v>89</v>
      </c>
      <c r="BA272" s="3" t="s">
        <v>1467</v>
      </c>
      <c r="BC272" s="3" t="s">
        <v>1468</v>
      </c>
      <c r="BD272" s="8">
        <v>0</v>
      </c>
    </row>
    <row r="273" spans="1:56" ht="14.25" customHeight="1" thickBot="1">
      <c r="A273" s="3" t="s">
        <v>1469</v>
      </c>
      <c r="B273" s="3" t="s">
        <v>1241</v>
      </c>
      <c r="C273" s="3" t="s">
        <v>1470</v>
      </c>
      <c r="E273" s="3" t="s">
        <v>71</v>
      </c>
      <c r="F273" s="3">
        <f t="shared" si="2"/>
        <v>3</v>
      </c>
      <c r="G273" s="3" t="s">
        <v>119</v>
      </c>
      <c r="H273" s="3">
        <f t="shared" si="3"/>
        <v>3</v>
      </c>
      <c r="I273" s="3" t="s">
        <v>122</v>
      </c>
      <c r="J273" s="3" t="s">
        <v>600</v>
      </c>
      <c r="M273" s="3" t="s">
        <v>97</v>
      </c>
      <c r="N273" s="3" t="s">
        <v>98</v>
      </c>
      <c r="O273" s="3" t="s">
        <v>78</v>
      </c>
      <c r="P273" s="3" t="s">
        <v>79</v>
      </c>
      <c r="Q273" s="3" t="s">
        <v>1471</v>
      </c>
      <c r="R273" s="3" t="s">
        <v>1472</v>
      </c>
      <c r="S273" s="18">
        <v>0</v>
      </c>
      <c r="T273" s="18">
        <v>12.59</v>
      </c>
      <c r="U273" s="18">
        <v>28.89</v>
      </c>
      <c r="AC273" s="3" t="s">
        <v>102</v>
      </c>
      <c r="AD273" s="10">
        <v>34.41968</v>
      </c>
      <c r="AE273" s="11">
        <v>-119.704537</v>
      </c>
      <c r="AH273" s="3">
        <v>2009</v>
      </c>
      <c r="AI273" s="3">
        <v>5</v>
      </c>
      <c r="AJ273" s="8">
        <v>5</v>
      </c>
      <c r="AK273" s="3">
        <v>2009</v>
      </c>
      <c r="AL273" s="3">
        <v>5</v>
      </c>
      <c r="AM273" s="3">
        <v>11</v>
      </c>
      <c r="AN273" s="29">
        <v>0</v>
      </c>
      <c r="AO273" s="3">
        <v>29</v>
      </c>
      <c r="AQ273" s="3">
        <v>234</v>
      </c>
      <c r="AR273" s="3">
        <v>263</v>
      </c>
      <c r="AW273" s="3">
        <v>100000</v>
      </c>
      <c r="AX273" s="3">
        <v>136412</v>
      </c>
      <c r="AY273" s="3">
        <v>73.307176721938703</v>
      </c>
      <c r="AZ273" s="3" t="s">
        <v>82</v>
      </c>
      <c r="BB273" s="3" t="s">
        <v>1473</v>
      </c>
      <c r="BC273" s="3" t="s">
        <v>1474</v>
      </c>
      <c r="BD273" s="8">
        <v>3</v>
      </c>
    </row>
    <row r="274" spans="1:56" ht="14.25" customHeight="1" thickBot="1">
      <c r="A274" s="3" t="s">
        <v>1475</v>
      </c>
      <c r="B274" s="3" t="s">
        <v>1241</v>
      </c>
      <c r="C274" s="3" t="s">
        <v>1476</v>
      </c>
      <c r="E274" s="3" t="s">
        <v>71</v>
      </c>
      <c r="F274" s="3">
        <f t="shared" si="2"/>
        <v>2</v>
      </c>
      <c r="G274" s="3" t="s">
        <v>72</v>
      </c>
      <c r="H274" s="3">
        <f t="shared" si="3"/>
        <v>2</v>
      </c>
      <c r="I274" s="3" t="s">
        <v>73</v>
      </c>
      <c r="J274" s="3" t="s">
        <v>74</v>
      </c>
      <c r="K274" s="3" t="s">
        <v>169</v>
      </c>
      <c r="M274" s="3" t="s">
        <v>76</v>
      </c>
      <c r="N274" s="3" t="s">
        <v>77</v>
      </c>
      <c r="O274" s="3" t="s">
        <v>78</v>
      </c>
      <c r="P274" s="3" t="s">
        <v>79</v>
      </c>
      <c r="Q274" s="3" t="s">
        <v>1477</v>
      </c>
      <c r="S274" s="18">
        <v>0</v>
      </c>
      <c r="T274" s="18">
        <v>15.31</v>
      </c>
      <c r="U274" s="18">
        <v>25.61</v>
      </c>
      <c r="AC274" s="3" t="s">
        <v>81</v>
      </c>
      <c r="AD274" s="6">
        <v>46.500279999999997</v>
      </c>
      <c r="AE274" s="6">
        <v>-66.750183000000007</v>
      </c>
      <c r="AH274" s="3">
        <v>2009</v>
      </c>
      <c r="AI274" s="3">
        <v>8</v>
      </c>
      <c r="AJ274" s="8">
        <v>1</v>
      </c>
      <c r="AK274" s="3">
        <v>2009</v>
      </c>
      <c r="AL274" s="3">
        <v>8</v>
      </c>
      <c r="AM274" s="3">
        <v>3</v>
      </c>
      <c r="AN274" s="29">
        <v>2</v>
      </c>
      <c r="AW274" s="3">
        <v>500000</v>
      </c>
      <c r="AX274" s="3">
        <v>682061</v>
      </c>
      <c r="AY274" s="3">
        <v>73.307176721938703</v>
      </c>
      <c r="AZ274" s="3" t="s">
        <v>89</v>
      </c>
      <c r="BA274" s="3" t="s">
        <v>1245</v>
      </c>
      <c r="BC274" s="3" t="s">
        <v>1246</v>
      </c>
      <c r="BD274" s="8">
        <v>0</v>
      </c>
    </row>
    <row r="275" spans="1:56" ht="14.25" customHeight="1" thickBot="1">
      <c r="A275" s="3" t="s">
        <v>1478</v>
      </c>
      <c r="B275" s="3" t="s">
        <v>1241</v>
      </c>
      <c r="C275" s="3" t="s">
        <v>1479</v>
      </c>
      <c r="E275" s="3" t="s">
        <v>71</v>
      </c>
      <c r="F275" s="3">
        <f t="shared" si="2"/>
        <v>2</v>
      </c>
      <c r="G275" s="3" t="s">
        <v>72</v>
      </c>
      <c r="H275" s="3">
        <f t="shared" si="3"/>
        <v>2</v>
      </c>
      <c r="I275" s="3" t="s">
        <v>73</v>
      </c>
      <c r="J275" s="3" t="s">
        <v>212</v>
      </c>
      <c r="L275" s="3" t="s">
        <v>1480</v>
      </c>
      <c r="M275" s="3" t="s">
        <v>76</v>
      </c>
      <c r="N275" s="3" t="s">
        <v>77</v>
      </c>
      <c r="O275" s="3" t="s">
        <v>78</v>
      </c>
      <c r="P275" s="3" t="s">
        <v>79</v>
      </c>
      <c r="Q275" s="3" t="s">
        <v>1481</v>
      </c>
      <c r="S275" s="18">
        <v>39.770000000000003</v>
      </c>
      <c r="T275" s="18">
        <v>17.12</v>
      </c>
      <c r="U275" s="18">
        <v>23.7</v>
      </c>
      <c r="AC275" s="3" t="s">
        <v>81</v>
      </c>
      <c r="AD275" s="6">
        <v>45.196040000000004</v>
      </c>
      <c r="AE275" s="6">
        <v>-63.165379000000001</v>
      </c>
      <c r="AH275" s="3">
        <v>2009</v>
      </c>
      <c r="AI275" s="3">
        <v>8</v>
      </c>
      <c r="AJ275" s="8">
        <v>23</v>
      </c>
      <c r="AK275" s="3">
        <v>2009</v>
      </c>
      <c r="AL275" s="3">
        <v>8</v>
      </c>
      <c r="AM275" s="3">
        <v>23</v>
      </c>
      <c r="AN275" s="29">
        <v>0</v>
      </c>
      <c r="AO275" s="3">
        <v>3</v>
      </c>
      <c r="AR275" s="3">
        <v>3</v>
      </c>
      <c r="AY275" s="3">
        <v>73.307176721938703</v>
      </c>
      <c r="AZ275" s="3" t="s">
        <v>89</v>
      </c>
      <c r="BA275" s="3" t="s">
        <v>1482</v>
      </c>
      <c r="BC275" s="3" t="s">
        <v>1483</v>
      </c>
      <c r="BD275" s="8">
        <v>1</v>
      </c>
    </row>
    <row r="276" spans="1:56" ht="14.25" customHeight="1" thickBot="1">
      <c r="A276" s="3" t="s">
        <v>1484</v>
      </c>
      <c r="B276" s="3" t="s">
        <v>1485</v>
      </c>
      <c r="C276" s="3" t="s">
        <v>1486</v>
      </c>
      <c r="E276" s="3" t="s">
        <v>71</v>
      </c>
      <c r="F276" s="3">
        <f t="shared" si="2"/>
        <v>2</v>
      </c>
      <c r="G276" s="3" t="s">
        <v>72</v>
      </c>
      <c r="H276" s="3">
        <f t="shared" si="3"/>
        <v>2</v>
      </c>
      <c r="I276" s="3" t="s">
        <v>73</v>
      </c>
      <c r="J276" s="3" t="s">
        <v>74</v>
      </c>
      <c r="K276" s="3" t="s">
        <v>127</v>
      </c>
      <c r="M276" s="3" t="s">
        <v>76</v>
      </c>
      <c r="N276" s="3" t="s">
        <v>77</v>
      </c>
      <c r="O276" s="3" t="s">
        <v>78</v>
      </c>
      <c r="P276" s="3" t="s">
        <v>79</v>
      </c>
      <c r="Q276" s="3" t="s">
        <v>1487</v>
      </c>
      <c r="S276" s="18">
        <v>3.44</v>
      </c>
      <c r="T276" s="18">
        <v>-9.26</v>
      </c>
      <c r="U276" s="18">
        <v>-2.73</v>
      </c>
      <c r="AC276" s="3" t="s">
        <v>81</v>
      </c>
      <c r="AD276" s="6">
        <v>46.500279999999997</v>
      </c>
      <c r="AE276" s="6">
        <v>-66.750183000000007</v>
      </c>
      <c r="AH276" s="3">
        <v>2010</v>
      </c>
      <c r="AI276" s="3">
        <v>12</v>
      </c>
      <c r="AJ276" s="8">
        <v>26</v>
      </c>
      <c r="AK276" s="3">
        <v>2010</v>
      </c>
      <c r="AL276" s="3">
        <v>12</v>
      </c>
      <c r="AM276" s="3">
        <v>28</v>
      </c>
      <c r="AN276" s="29">
        <v>0</v>
      </c>
      <c r="AY276" s="3">
        <v>74.509444078196097</v>
      </c>
      <c r="AZ276" s="3" t="s">
        <v>89</v>
      </c>
      <c r="BA276" s="3" t="s">
        <v>1488</v>
      </c>
      <c r="BC276" s="3" t="s">
        <v>1489</v>
      </c>
      <c r="BD276" s="8">
        <v>0</v>
      </c>
    </row>
    <row r="277" spans="1:56" ht="14.25" customHeight="1" thickBot="1">
      <c r="A277" s="3" t="s">
        <v>1490</v>
      </c>
      <c r="B277" s="3" t="s">
        <v>1491</v>
      </c>
      <c r="C277" s="3" t="s">
        <v>1492</v>
      </c>
      <c r="D277" s="3" t="s">
        <v>1493</v>
      </c>
      <c r="E277" s="3" t="s">
        <v>71</v>
      </c>
      <c r="F277" s="3">
        <f t="shared" si="2"/>
        <v>2</v>
      </c>
      <c r="G277" s="3" t="s">
        <v>72</v>
      </c>
      <c r="H277" s="3">
        <f t="shared" si="3"/>
        <v>2</v>
      </c>
      <c r="I277" s="3" t="s">
        <v>73</v>
      </c>
      <c r="J277" s="3" t="s">
        <v>212</v>
      </c>
      <c r="L277" s="3" t="s">
        <v>1494</v>
      </c>
      <c r="M277" s="3" t="s">
        <v>76</v>
      </c>
      <c r="N277" s="3" t="s">
        <v>77</v>
      </c>
      <c r="O277" s="3" t="s">
        <v>78</v>
      </c>
      <c r="P277" s="3" t="s">
        <v>79</v>
      </c>
      <c r="Q277" s="3" t="s">
        <v>1495</v>
      </c>
      <c r="S277" s="18">
        <v>58.81</v>
      </c>
      <c r="T277" s="18">
        <v>14.45</v>
      </c>
      <c r="U277" s="18">
        <v>22.95</v>
      </c>
      <c r="V277" s="3" t="s">
        <v>95</v>
      </c>
      <c r="AB277" s="3">
        <v>130</v>
      </c>
      <c r="AC277" s="3" t="s">
        <v>81</v>
      </c>
      <c r="AD277" s="6">
        <v>46.500279999999997</v>
      </c>
      <c r="AE277" s="6">
        <v>-66.750183000000007</v>
      </c>
      <c r="AH277" s="3">
        <v>2011</v>
      </c>
      <c r="AI277" s="3">
        <v>8</v>
      </c>
      <c r="AJ277" s="8">
        <v>28</v>
      </c>
      <c r="AK277" s="3">
        <v>2011</v>
      </c>
      <c r="AL277" s="3">
        <v>8</v>
      </c>
      <c r="AM277" s="3">
        <v>29</v>
      </c>
      <c r="AN277" s="29">
        <v>1</v>
      </c>
      <c r="AY277" s="3">
        <v>76.861595377819796</v>
      </c>
      <c r="AZ277" s="3" t="s">
        <v>89</v>
      </c>
      <c r="BA277" s="3" t="s">
        <v>691</v>
      </c>
      <c r="BC277" s="3" t="s">
        <v>692</v>
      </c>
      <c r="BD277" s="8">
        <v>0</v>
      </c>
    </row>
    <row r="278" spans="1:56" ht="14.25" customHeight="1" thickBot="1">
      <c r="A278" s="3" t="s">
        <v>1496</v>
      </c>
      <c r="B278" s="3" t="s">
        <v>1491</v>
      </c>
      <c r="C278" s="3" t="s">
        <v>1497</v>
      </c>
      <c r="E278" s="3" t="s">
        <v>71</v>
      </c>
      <c r="F278" s="3">
        <f t="shared" si="2"/>
        <v>2</v>
      </c>
      <c r="G278" s="3" t="s">
        <v>72</v>
      </c>
      <c r="H278" s="3">
        <f t="shared" si="3"/>
        <v>2</v>
      </c>
      <c r="I278" s="3" t="s">
        <v>73</v>
      </c>
      <c r="J278" s="3" t="s">
        <v>74</v>
      </c>
      <c r="K278" s="3" t="s">
        <v>75</v>
      </c>
      <c r="M278" s="3" t="s">
        <v>76</v>
      </c>
      <c r="N278" s="3" t="s">
        <v>77</v>
      </c>
      <c r="O278" s="3" t="s">
        <v>78</v>
      </c>
      <c r="P278" s="3" t="s">
        <v>79</v>
      </c>
      <c r="Q278" s="3" t="s">
        <v>1498</v>
      </c>
      <c r="S278" s="18">
        <v>12.43</v>
      </c>
      <c r="T278" s="18">
        <v>14.89</v>
      </c>
      <c r="U278" s="18">
        <v>22.95</v>
      </c>
      <c r="AB278" s="3">
        <v>300</v>
      </c>
      <c r="AC278" s="3" t="s">
        <v>81</v>
      </c>
      <c r="AD278" s="10">
        <v>43.74248</v>
      </c>
      <c r="AE278" s="11">
        <v>-81.711819000000006</v>
      </c>
      <c r="AH278" s="3">
        <v>2011</v>
      </c>
      <c r="AI278" s="3">
        <v>8</v>
      </c>
      <c r="AJ278" s="8">
        <v>21</v>
      </c>
      <c r="AK278" s="3">
        <v>2011</v>
      </c>
      <c r="AL278" s="3">
        <v>8</v>
      </c>
      <c r="AM278" s="3">
        <v>24</v>
      </c>
      <c r="AN278" s="29">
        <v>1</v>
      </c>
      <c r="AO278" s="3">
        <v>20</v>
      </c>
      <c r="AR278" s="3">
        <v>20</v>
      </c>
      <c r="AY278" s="3">
        <v>76.861595377819796</v>
      </c>
      <c r="AZ278" s="3" t="s">
        <v>82</v>
      </c>
      <c r="BB278" s="3" t="s">
        <v>1499</v>
      </c>
      <c r="BC278" s="3" t="s">
        <v>1500</v>
      </c>
      <c r="BD278" s="8">
        <v>2</v>
      </c>
    </row>
    <row r="279" spans="1:56" ht="14.25" customHeight="1" thickBot="1">
      <c r="A279" s="3" t="s">
        <v>1501</v>
      </c>
      <c r="B279" s="3" t="s">
        <v>1491</v>
      </c>
      <c r="C279" s="3" t="s">
        <v>1363</v>
      </c>
      <c r="E279" s="3" t="s">
        <v>71</v>
      </c>
      <c r="F279" s="3">
        <f t="shared" si="2"/>
        <v>1</v>
      </c>
      <c r="G279" s="3" t="s">
        <v>94</v>
      </c>
      <c r="H279" s="3">
        <f t="shared" si="3"/>
        <v>1</v>
      </c>
      <c r="I279" s="3" t="s">
        <v>95</v>
      </c>
      <c r="J279" s="3" t="s">
        <v>96</v>
      </c>
      <c r="M279" s="3" t="s">
        <v>76</v>
      </c>
      <c r="N279" s="3" t="s">
        <v>77</v>
      </c>
      <c r="O279" s="3" t="s">
        <v>78</v>
      </c>
      <c r="P279" s="3" t="s">
        <v>79</v>
      </c>
      <c r="Q279" s="3" t="s">
        <v>1502</v>
      </c>
      <c r="S279" s="18">
        <v>0</v>
      </c>
      <c r="T279" s="18">
        <v>-14.64</v>
      </c>
      <c r="U279" s="18">
        <v>-1.24</v>
      </c>
      <c r="Z279" s="3" t="s">
        <v>264</v>
      </c>
      <c r="AC279" s="3" t="s">
        <v>102</v>
      </c>
      <c r="AD279" s="6">
        <v>55.001249999999999</v>
      </c>
      <c r="AE279" s="6">
        <v>-97.001037999999994</v>
      </c>
      <c r="AG279" s="3" t="s">
        <v>1503</v>
      </c>
      <c r="AH279" s="3">
        <v>2011</v>
      </c>
      <c r="AI279" s="3">
        <v>4</v>
      </c>
      <c r="AJ279" s="8">
        <v>4</v>
      </c>
      <c r="AK279" s="3">
        <v>2011</v>
      </c>
      <c r="AL279" s="3">
        <v>5</v>
      </c>
      <c r="AM279" s="3">
        <v>31</v>
      </c>
      <c r="AN279" s="29">
        <v>5</v>
      </c>
      <c r="AP279" s="3">
        <v>2000</v>
      </c>
      <c r="AR279" s="3">
        <v>2000</v>
      </c>
      <c r="AU279" s="3">
        <v>157000</v>
      </c>
      <c r="AV279" s="3">
        <v>204263</v>
      </c>
      <c r="AW279" s="3">
        <v>800000</v>
      </c>
      <c r="AX279" s="3">
        <v>1040832</v>
      </c>
      <c r="AY279" s="3">
        <v>76.861595377819796</v>
      </c>
      <c r="AZ279" s="3" t="s">
        <v>89</v>
      </c>
      <c r="BA279" s="3" t="s">
        <v>1504</v>
      </c>
      <c r="BC279" s="3" t="s">
        <v>1505</v>
      </c>
      <c r="BD279" s="8">
        <v>4</v>
      </c>
    </row>
    <row r="280" spans="1:56" ht="14.25" customHeight="1" thickBot="1">
      <c r="A280" s="3" t="s">
        <v>1506</v>
      </c>
      <c r="B280" s="3" t="s">
        <v>1241</v>
      </c>
      <c r="C280" s="3" t="s">
        <v>414</v>
      </c>
      <c r="E280" s="3" t="s">
        <v>71</v>
      </c>
      <c r="F280" s="3">
        <f t="shared" si="2"/>
        <v>2</v>
      </c>
      <c r="G280" s="3" t="s">
        <v>72</v>
      </c>
      <c r="H280" s="3">
        <f t="shared" si="3"/>
        <v>2</v>
      </c>
      <c r="I280" s="3" t="s">
        <v>73</v>
      </c>
      <c r="J280" s="3" t="s">
        <v>74</v>
      </c>
      <c r="K280" s="3" t="s">
        <v>75</v>
      </c>
      <c r="M280" s="3" t="s">
        <v>97</v>
      </c>
      <c r="N280" s="3" t="s">
        <v>98</v>
      </c>
      <c r="O280" s="3" t="s">
        <v>78</v>
      </c>
      <c r="P280" s="3" t="s">
        <v>79</v>
      </c>
      <c r="Q280" s="3" t="s">
        <v>1507</v>
      </c>
      <c r="S280" s="18">
        <v>0</v>
      </c>
      <c r="T280" s="18">
        <v>23.19</v>
      </c>
      <c r="U280" s="18">
        <v>34.51</v>
      </c>
      <c r="V280" s="3" t="s">
        <v>355</v>
      </c>
      <c r="W280" s="3" t="s">
        <v>95</v>
      </c>
      <c r="AB280" s="3">
        <v>128</v>
      </c>
      <c r="AC280" s="3" t="s">
        <v>81</v>
      </c>
      <c r="AD280" s="8">
        <v>30.24</v>
      </c>
      <c r="AE280" s="8">
        <v>-98.66</v>
      </c>
      <c r="AH280" s="3">
        <v>2009</v>
      </c>
      <c r="AI280" s="3">
        <v>6</v>
      </c>
      <c r="AJ280" s="8">
        <v>10</v>
      </c>
      <c r="AK280" s="3">
        <v>2009</v>
      </c>
      <c r="AL280" s="3">
        <v>6</v>
      </c>
      <c r="AM280" s="3">
        <v>18</v>
      </c>
      <c r="AN280" s="29">
        <v>1</v>
      </c>
      <c r="AO280" s="3">
        <v>2</v>
      </c>
      <c r="AR280" s="3">
        <v>2</v>
      </c>
      <c r="AU280" s="3">
        <v>1100000</v>
      </c>
      <c r="AV280" s="3">
        <v>1500535</v>
      </c>
      <c r="AW280" s="3">
        <v>2000000</v>
      </c>
      <c r="AX280" s="3">
        <v>2728246</v>
      </c>
      <c r="AY280" s="3">
        <v>73.307176721938703</v>
      </c>
      <c r="AZ280" s="3" t="s">
        <v>89</v>
      </c>
      <c r="BA280" s="3" t="s">
        <v>1508</v>
      </c>
      <c r="BC280" s="3" t="s">
        <v>1509</v>
      </c>
      <c r="BD280" s="8">
        <v>1</v>
      </c>
    </row>
    <row r="281" spans="1:56" ht="14.25" customHeight="1" thickBot="1">
      <c r="A281" s="3" t="s">
        <v>1510</v>
      </c>
      <c r="B281" s="3" t="s">
        <v>1241</v>
      </c>
      <c r="C281" s="3" t="s">
        <v>1262</v>
      </c>
      <c r="E281" s="3" t="s">
        <v>71</v>
      </c>
      <c r="F281" s="3">
        <f t="shared" si="2"/>
        <v>2</v>
      </c>
      <c r="G281" s="3" t="s">
        <v>72</v>
      </c>
      <c r="H281" s="3">
        <f t="shared" si="3"/>
        <v>2</v>
      </c>
      <c r="I281" s="3" t="s">
        <v>73</v>
      </c>
      <c r="J281" s="3" t="s">
        <v>74</v>
      </c>
      <c r="K281" s="3" t="s">
        <v>169</v>
      </c>
      <c r="M281" s="3" t="s">
        <v>97</v>
      </c>
      <c r="N281" s="3" t="s">
        <v>98</v>
      </c>
      <c r="O281" s="3" t="s">
        <v>78</v>
      </c>
      <c r="P281" s="3" t="s">
        <v>79</v>
      </c>
      <c r="Q281" s="3" t="s">
        <v>1511</v>
      </c>
      <c r="S281" s="18">
        <v>31.34</v>
      </c>
      <c r="T281" s="18">
        <v>15.22</v>
      </c>
      <c r="U281" s="18">
        <v>20.64</v>
      </c>
      <c r="V281" s="3" t="s">
        <v>355</v>
      </c>
      <c r="W281" s="3" t="s">
        <v>95</v>
      </c>
      <c r="AC281" s="3" t="s">
        <v>81</v>
      </c>
      <c r="AD281" s="8">
        <v>30.24</v>
      </c>
      <c r="AE281" s="8">
        <v>-98.66</v>
      </c>
      <c r="AH281" s="3">
        <v>2009</v>
      </c>
      <c r="AI281" s="3">
        <v>4</v>
      </c>
      <c r="AJ281" s="8">
        <v>16</v>
      </c>
      <c r="AK281" s="3">
        <v>2009</v>
      </c>
      <c r="AL281" s="3">
        <v>4</v>
      </c>
      <c r="AM281" s="3">
        <v>18</v>
      </c>
      <c r="AN281" s="29">
        <v>6</v>
      </c>
      <c r="AU281" s="3">
        <v>200000</v>
      </c>
      <c r="AV281" s="3">
        <v>272825</v>
      </c>
      <c r="AW281" s="3">
        <v>240000</v>
      </c>
      <c r="AX281" s="3">
        <v>327390</v>
      </c>
      <c r="AY281" s="3">
        <v>73.307176721938703</v>
      </c>
      <c r="AZ281" s="3" t="s">
        <v>82</v>
      </c>
      <c r="BB281" s="3" t="s">
        <v>1512</v>
      </c>
      <c r="BC281" s="3" t="s">
        <v>1513</v>
      </c>
      <c r="BD281" s="8">
        <v>0</v>
      </c>
    </row>
    <row r="282" spans="1:56" ht="14.25" customHeight="1" thickBot="1">
      <c r="A282" s="3" t="s">
        <v>1514</v>
      </c>
      <c r="B282" s="3" t="s">
        <v>1241</v>
      </c>
      <c r="C282" s="3" t="s">
        <v>1515</v>
      </c>
      <c r="E282" s="3" t="s">
        <v>71</v>
      </c>
      <c r="F282" s="3">
        <f t="shared" si="2"/>
        <v>2</v>
      </c>
      <c r="G282" s="3" t="s">
        <v>72</v>
      </c>
      <c r="H282" s="3">
        <f t="shared" si="3"/>
        <v>2</v>
      </c>
      <c r="I282" s="3" t="s">
        <v>73</v>
      </c>
      <c r="J282" s="3" t="s">
        <v>74</v>
      </c>
      <c r="K282" s="3" t="s">
        <v>807</v>
      </c>
      <c r="M282" s="3" t="s">
        <v>97</v>
      </c>
      <c r="N282" s="3" t="s">
        <v>98</v>
      </c>
      <c r="O282" s="3" t="s">
        <v>78</v>
      </c>
      <c r="P282" s="3" t="s">
        <v>79</v>
      </c>
      <c r="Q282" s="3" t="s">
        <v>1516</v>
      </c>
      <c r="S282" s="18">
        <v>0</v>
      </c>
      <c r="T282" s="18">
        <v>11.75</v>
      </c>
      <c r="U282" s="18">
        <v>25.11</v>
      </c>
      <c r="V282" s="3" t="s">
        <v>355</v>
      </c>
      <c r="AC282" s="3" t="s">
        <v>81</v>
      </c>
      <c r="AD282" s="8">
        <v>30.24</v>
      </c>
      <c r="AE282" s="8">
        <v>-98.66</v>
      </c>
      <c r="AH282" s="3">
        <v>2009</v>
      </c>
      <c r="AI282" s="3">
        <v>3</v>
      </c>
      <c r="AJ282" s="8">
        <v>26</v>
      </c>
      <c r="AK282" s="3">
        <v>2009</v>
      </c>
      <c r="AL282" s="3">
        <v>3</v>
      </c>
      <c r="AM282" s="3">
        <v>28</v>
      </c>
      <c r="AN282" s="29">
        <v>6</v>
      </c>
      <c r="AO282" s="3">
        <v>25</v>
      </c>
      <c r="AR282" s="3">
        <v>25</v>
      </c>
      <c r="AU282" s="3">
        <v>800000</v>
      </c>
      <c r="AV282" s="3">
        <v>1091298</v>
      </c>
      <c r="AW282" s="3">
        <v>1500000</v>
      </c>
      <c r="AX282" s="3">
        <v>2046184</v>
      </c>
      <c r="AY282" s="3">
        <v>73.307176721938703</v>
      </c>
      <c r="AZ282" s="3" t="s">
        <v>89</v>
      </c>
      <c r="BA282" s="3" t="s">
        <v>1517</v>
      </c>
      <c r="BC282" s="3" t="s">
        <v>1518</v>
      </c>
      <c r="BD282" s="8">
        <v>2</v>
      </c>
    </row>
    <row r="283" spans="1:56" ht="14.25" customHeight="1" thickBot="1">
      <c r="A283" s="3" t="s">
        <v>1519</v>
      </c>
      <c r="B283" s="3" t="s">
        <v>1241</v>
      </c>
      <c r="C283" s="3" t="s">
        <v>1520</v>
      </c>
      <c r="E283" s="3" t="s">
        <v>71</v>
      </c>
      <c r="F283" s="3">
        <f t="shared" si="2"/>
        <v>2</v>
      </c>
      <c r="G283" s="3" t="s">
        <v>72</v>
      </c>
      <c r="H283" s="3">
        <f t="shared" si="3"/>
        <v>2</v>
      </c>
      <c r="I283" s="3" t="s">
        <v>73</v>
      </c>
      <c r="J283" s="3" t="s">
        <v>74</v>
      </c>
      <c r="K283" s="3" t="s">
        <v>169</v>
      </c>
      <c r="M283" s="3" t="s">
        <v>97</v>
      </c>
      <c r="N283" s="3" t="s">
        <v>98</v>
      </c>
      <c r="O283" s="3" t="s">
        <v>78</v>
      </c>
      <c r="P283" s="3" t="s">
        <v>79</v>
      </c>
      <c r="Q283" s="3" t="s">
        <v>1521</v>
      </c>
      <c r="S283" s="18">
        <v>19.22</v>
      </c>
      <c r="T283" s="18">
        <v>15.36</v>
      </c>
      <c r="U283" s="18">
        <v>31.89</v>
      </c>
      <c r="V283" s="3" t="s">
        <v>355</v>
      </c>
      <c r="AC283" s="3" t="s">
        <v>81</v>
      </c>
      <c r="AD283" s="6">
        <v>39.739240000000002</v>
      </c>
      <c r="AE283" s="6">
        <v>-104.98486200000001</v>
      </c>
      <c r="AH283" s="3">
        <v>2009</v>
      </c>
      <c r="AI283" s="3">
        <v>7</v>
      </c>
      <c r="AJ283" s="8">
        <v>20</v>
      </c>
      <c r="AK283" s="3">
        <v>2009</v>
      </c>
      <c r="AL283" s="3">
        <v>7</v>
      </c>
      <c r="AM283" s="3">
        <v>21</v>
      </c>
      <c r="AN283" s="29">
        <v>1</v>
      </c>
      <c r="AU283" s="3">
        <v>800000</v>
      </c>
      <c r="AV283" s="3">
        <v>1091298</v>
      </c>
      <c r="AW283" s="3">
        <v>1000000</v>
      </c>
      <c r="AX283" s="3">
        <v>1364123</v>
      </c>
      <c r="AY283" s="3">
        <v>73.307176721938703</v>
      </c>
      <c r="AZ283" s="3" t="s">
        <v>82</v>
      </c>
      <c r="BB283" s="3" t="s">
        <v>1522</v>
      </c>
      <c r="BC283" s="3" t="s">
        <v>1523</v>
      </c>
      <c r="BD283" s="8">
        <v>0</v>
      </c>
    </row>
    <row r="284" spans="1:56" ht="14.25" customHeight="1" thickBot="1">
      <c r="A284" s="3" t="s">
        <v>1524</v>
      </c>
      <c r="B284" s="3" t="s">
        <v>1241</v>
      </c>
      <c r="C284" s="3" t="s">
        <v>505</v>
      </c>
      <c r="E284" s="3" t="s">
        <v>71</v>
      </c>
      <c r="F284" s="3">
        <f t="shared" si="2"/>
        <v>2</v>
      </c>
      <c r="G284" s="3" t="s">
        <v>72</v>
      </c>
      <c r="H284" s="3">
        <f t="shared" si="3"/>
        <v>2</v>
      </c>
      <c r="I284" s="3" t="s">
        <v>73</v>
      </c>
      <c r="J284" s="3" t="s">
        <v>74</v>
      </c>
      <c r="K284" s="3" t="s">
        <v>75</v>
      </c>
      <c r="M284" s="3" t="s">
        <v>97</v>
      </c>
      <c r="N284" s="3" t="s">
        <v>98</v>
      </c>
      <c r="O284" s="3" t="s">
        <v>78</v>
      </c>
      <c r="P284" s="3" t="s">
        <v>79</v>
      </c>
      <c r="Q284" s="3" t="s">
        <v>1525</v>
      </c>
      <c r="S284" s="18">
        <v>6.11</v>
      </c>
      <c r="T284" s="18">
        <v>-0.68</v>
      </c>
      <c r="U284" s="18">
        <v>12.47</v>
      </c>
      <c r="V284" s="3" t="s">
        <v>683</v>
      </c>
      <c r="AB284" s="3">
        <v>146</v>
      </c>
      <c r="AC284" s="3" t="s">
        <v>81</v>
      </c>
      <c r="AD284" s="6">
        <v>40.225360000000002</v>
      </c>
      <c r="AE284" s="6">
        <v>-82.688140000000004</v>
      </c>
      <c r="AH284" s="3">
        <v>2009</v>
      </c>
      <c r="AI284" s="3">
        <v>2</v>
      </c>
      <c r="AJ284" s="8">
        <v>10</v>
      </c>
      <c r="AK284" s="3">
        <v>2009</v>
      </c>
      <c r="AL284" s="3">
        <v>2</v>
      </c>
      <c r="AM284" s="3">
        <v>13</v>
      </c>
      <c r="AN284" s="29">
        <v>16</v>
      </c>
      <c r="AO284" s="3">
        <v>50</v>
      </c>
      <c r="AR284" s="3">
        <v>50</v>
      </c>
      <c r="AU284" s="3">
        <v>1350000</v>
      </c>
      <c r="AV284" s="3">
        <v>1841566</v>
      </c>
      <c r="AW284" s="3">
        <v>2500000</v>
      </c>
      <c r="AX284" s="3">
        <v>3410307</v>
      </c>
      <c r="AY284" s="3">
        <v>73.307176721938703</v>
      </c>
      <c r="AZ284" s="3" t="s">
        <v>89</v>
      </c>
      <c r="BA284" s="3" t="s">
        <v>1526</v>
      </c>
      <c r="BC284" s="3" t="s">
        <v>1527</v>
      </c>
      <c r="BD284" s="8">
        <v>2</v>
      </c>
    </row>
    <row r="285" spans="1:56" ht="14.25" customHeight="1" thickBot="1">
      <c r="A285" s="3" t="s">
        <v>1528</v>
      </c>
      <c r="B285" s="3" t="s">
        <v>1241</v>
      </c>
      <c r="C285" s="3" t="s">
        <v>359</v>
      </c>
      <c r="D285" s="3" t="s">
        <v>1529</v>
      </c>
      <c r="E285" s="3" t="s">
        <v>71</v>
      </c>
      <c r="F285" s="3">
        <f t="shared" si="2"/>
        <v>2</v>
      </c>
      <c r="G285" s="3" t="s">
        <v>72</v>
      </c>
      <c r="H285" s="3">
        <f t="shared" si="3"/>
        <v>2</v>
      </c>
      <c r="I285" s="3" t="s">
        <v>73</v>
      </c>
      <c r="J285" s="3" t="s">
        <v>212</v>
      </c>
      <c r="L285" s="3" t="s">
        <v>1530</v>
      </c>
      <c r="M285" s="3" t="s">
        <v>97</v>
      </c>
      <c r="N285" s="3" t="s">
        <v>98</v>
      </c>
      <c r="O285" s="3" t="s">
        <v>78</v>
      </c>
      <c r="P285" s="3" t="s">
        <v>79</v>
      </c>
      <c r="Q285" s="3" t="s">
        <v>1531</v>
      </c>
      <c r="S285" s="18">
        <v>0</v>
      </c>
      <c r="T285" s="18">
        <v>4.68</v>
      </c>
      <c r="U285" s="18">
        <v>21.3</v>
      </c>
      <c r="V285" s="3" t="s">
        <v>95</v>
      </c>
      <c r="Z285" s="3" t="s">
        <v>264</v>
      </c>
      <c r="AC285" s="3" t="s">
        <v>81</v>
      </c>
      <c r="AD285" s="10">
        <v>38.610819999999997</v>
      </c>
      <c r="AE285" s="11">
        <v>-75.421028000000007</v>
      </c>
      <c r="AH285" s="3">
        <v>2009</v>
      </c>
      <c r="AI285" s="3">
        <v>11</v>
      </c>
      <c r="AJ285" s="8">
        <v>9</v>
      </c>
      <c r="AK285" s="3">
        <v>2009</v>
      </c>
      <c r="AL285" s="3">
        <v>11</v>
      </c>
      <c r="AM285" s="3">
        <v>10</v>
      </c>
      <c r="AN285" s="29">
        <v>6</v>
      </c>
      <c r="AW285" s="3">
        <v>600000</v>
      </c>
      <c r="AX285" s="3">
        <v>818474</v>
      </c>
      <c r="AY285" s="3">
        <v>73.307176721938703</v>
      </c>
      <c r="AZ285" s="3" t="s">
        <v>206</v>
      </c>
      <c r="BA285" s="3" t="s">
        <v>1532</v>
      </c>
      <c r="BB285" s="3" t="s">
        <v>1533</v>
      </c>
      <c r="BC285" s="3" t="s">
        <v>1534</v>
      </c>
      <c r="BD285" s="8">
        <v>0</v>
      </c>
    </row>
    <row r="286" spans="1:56" ht="14.25" customHeight="1" thickBot="1">
      <c r="A286" s="3" t="s">
        <v>1535</v>
      </c>
      <c r="B286" s="3" t="s">
        <v>1241</v>
      </c>
      <c r="C286" s="3" t="s">
        <v>1479</v>
      </c>
      <c r="E286" s="3" t="s">
        <v>71</v>
      </c>
      <c r="F286" s="3">
        <f t="shared" si="2"/>
        <v>2</v>
      </c>
      <c r="G286" s="3" t="s">
        <v>72</v>
      </c>
      <c r="H286" s="3">
        <f t="shared" si="3"/>
        <v>2</v>
      </c>
      <c r="I286" s="3" t="s">
        <v>73</v>
      </c>
      <c r="J286" s="3" t="s">
        <v>212</v>
      </c>
      <c r="L286" s="3" t="s">
        <v>1480</v>
      </c>
      <c r="M286" s="3" t="s">
        <v>97</v>
      </c>
      <c r="N286" s="3" t="s">
        <v>98</v>
      </c>
      <c r="O286" s="3" t="s">
        <v>78</v>
      </c>
      <c r="P286" s="3" t="s">
        <v>79</v>
      </c>
      <c r="Q286" s="3" t="s">
        <v>1536</v>
      </c>
      <c r="S286" s="18">
        <v>31.84</v>
      </c>
      <c r="T286" s="18">
        <v>19.18</v>
      </c>
      <c r="U286" s="18">
        <v>27.33</v>
      </c>
      <c r="V286" s="3" t="s">
        <v>1537</v>
      </c>
      <c r="AC286" s="3" t="s">
        <v>81</v>
      </c>
      <c r="AD286" s="6">
        <v>43.669029999999999</v>
      </c>
      <c r="AE286" s="6">
        <v>-70.976868999999994</v>
      </c>
      <c r="AH286" s="3">
        <v>2009</v>
      </c>
      <c r="AI286" s="3">
        <v>8</v>
      </c>
      <c r="AJ286" s="8">
        <v>23</v>
      </c>
      <c r="AK286" s="3">
        <v>2009</v>
      </c>
      <c r="AL286" s="3">
        <v>8</v>
      </c>
      <c r="AM286" s="3">
        <v>23</v>
      </c>
      <c r="AN286" s="29">
        <v>3</v>
      </c>
      <c r="AO286" s="3">
        <v>9</v>
      </c>
      <c r="AR286" s="3">
        <v>9</v>
      </c>
      <c r="AY286" s="3">
        <v>73.307176721938703</v>
      </c>
      <c r="AZ286" s="3" t="s">
        <v>89</v>
      </c>
      <c r="BA286" s="3" t="s">
        <v>1538</v>
      </c>
      <c r="BC286" s="3" t="s">
        <v>1539</v>
      </c>
      <c r="BD286" s="8">
        <v>1</v>
      </c>
    </row>
    <row r="287" spans="1:56" ht="14.25" customHeight="1" thickBot="1">
      <c r="A287" s="3" t="s">
        <v>1540</v>
      </c>
      <c r="B287" s="3" t="s">
        <v>1241</v>
      </c>
      <c r="C287" s="3" t="s">
        <v>1541</v>
      </c>
      <c r="E287" s="3" t="s">
        <v>71</v>
      </c>
      <c r="F287" s="3">
        <f t="shared" si="2"/>
        <v>2</v>
      </c>
      <c r="G287" s="3" t="s">
        <v>72</v>
      </c>
      <c r="H287" s="3">
        <f t="shared" si="3"/>
        <v>2</v>
      </c>
      <c r="I287" s="3" t="s">
        <v>73</v>
      </c>
      <c r="J287" s="3" t="s">
        <v>74</v>
      </c>
      <c r="K287" s="3" t="s">
        <v>75</v>
      </c>
      <c r="M287" s="3" t="s">
        <v>97</v>
      </c>
      <c r="N287" s="3" t="s">
        <v>98</v>
      </c>
      <c r="O287" s="3" t="s">
        <v>78</v>
      </c>
      <c r="P287" s="3" t="s">
        <v>79</v>
      </c>
      <c r="Q287" s="3" t="s">
        <v>1542</v>
      </c>
      <c r="S287" s="18">
        <v>13.1</v>
      </c>
      <c r="T287" s="18">
        <v>13.55</v>
      </c>
      <c r="U287" s="18">
        <v>27.02</v>
      </c>
      <c r="AC287" s="3" t="s">
        <v>81</v>
      </c>
      <c r="AD287" s="6">
        <v>40.079659999999997</v>
      </c>
      <c r="AE287" s="6">
        <v>-89.433729</v>
      </c>
      <c r="AH287" s="3">
        <v>2009</v>
      </c>
      <c r="AI287" s="3">
        <v>5</v>
      </c>
      <c r="AJ287" s="8">
        <v>7</v>
      </c>
      <c r="AK287" s="3">
        <v>2009</v>
      </c>
      <c r="AL287" s="3">
        <v>5</v>
      </c>
      <c r="AM287" s="3">
        <v>9</v>
      </c>
      <c r="AN287" s="29">
        <v>7</v>
      </c>
      <c r="AU287" s="3">
        <v>600000</v>
      </c>
      <c r="AV287" s="3">
        <v>818474</v>
      </c>
      <c r="AW287" s="3">
        <v>850000</v>
      </c>
      <c r="AX287" s="3">
        <v>1159504</v>
      </c>
      <c r="AY287" s="3">
        <v>73.307176721938703</v>
      </c>
      <c r="AZ287" s="3" t="s">
        <v>89</v>
      </c>
      <c r="BA287" s="3" t="s">
        <v>1543</v>
      </c>
      <c r="BC287" s="3" t="s">
        <v>1544</v>
      </c>
      <c r="BD287" s="8">
        <v>0</v>
      </c>
    </row>
    <row r="288" spans="1:56" ht="14.25" customHeight="1" thickBot="1">
      <c r="A288" s="3" t="s">
        <v>1545</v>
      </c>
      <c r="B288" s="3" t="s">
        <v>1241</v>
      </c>
      <c r="C288" s="3" t="s">
        <v>723</v>
      </c>
      <c r="E288" s="3" t="s">
        <v>71</v>
      </c>
      <c r="F288" s="3">
        <f t="shared" si="2"/>
        <v>2</v>
      </c>
      <c r="G288" s="3" t="s">
        <v>72</v>
      </c>
      <c r="H288" s="3">
        <f t="shared" si="3"/>
        <v>2</v>
      </c>
      <c r="I288" s="3" t="s">
        <v>73</v>
      </c>
      <c r="J288" s="3" t="s">
        <v>74</v>
      </c>
      <c r="K288" s="3" t="s">
        <v>127</v>
      </c>
      <c r="M288" s="3" t="s">
        <v>97</v>
      </c>
      <c r="N288" s="3" t="s">
        <v>98</v>
      </c>
      <c r="O288" s="3" t="s">
        <v>78</v>
      </c>
      <c r="P288" s="3" t="s">
        <v>79</v>
      </c>
      <c r="Q288" s="3" t="s">
        <v>1546</v>
      </c>
      <c r="S288" s="18">
        <v>0</v>
      </c>
      <c r="T288" s="18">
        <v>5.25</v>
      </c>
      <c r="U288" s="18">
        <v>14.76</v>
      </c>
      <c r="Z288" s="3" t="s">
        <v>264</v>
      </c>
      <c r="AC288" s="3" t="s">
        <v>81</v>
      </c>
      <c r="AD288" s="6">
        <v>33.258879999999998</v>
      </c>
      <c r="AE288" s="6">
        <v>-86.829533999999995</v>
      </c>
      <c r="AH288" s="3">
        <v>2009</v>
      </c>
      <c r="AI288" s="3">
        <v>12</v>
      </c>
      <c r="AJ288" s="8">
        <v>23</v>
      </c>
      <c r="AK288" s="3">
        <v>2009</v>
      </c>
      <c r="AL288" s="3">
        <v>12</v>
      </c>
      <c r="AM288" s="3">
        <v>25</v>
      </c>
      <c r="AN288" s="29">
        <v>19</v>
      </c>
      <c r="AY288" s="3">
        <v>73.307176721938703</v>
      </c>
      <c r="AZ288" s="3" t="s">
        <v>89</v>
      </c>
      <c r="BA288" s="3" t="s">
        <v>1547</v>
      </c>
      <c r="BC288" s="3" t="s">
        <v>1548</v>
      </c>
      <c r="BD288" s="8">
        <v>0</v>
      </c>
    </row>
    <row r="289" spans="1:56" ht="14.25" customHeight="1" thickBot="1">
      <c r="A289" s="3" t="s">
        <v>1549</v>
      </c>
      <c r="B289" s="3" t="s">
        <v>1241</v>
      </c>
      <c r="C289" s="3" t="s">
        <v>1550</v>
      </c>
      <c r="D289" s="3" t="s">
        <v>1551</v>
      </c>
      <c r="E289" s="3" t="s">
        <v>71</v>
      </c>
      <c r="F289" s="3">
        <f t="shared" si="2"/>
        <v>1</v>
      </c>
      <c r="G289" s="3" t="s">
        <v>94</v>
      </c>
      <c r="H289" s="3">
        <f t="shared" si="3"/>
        <v>1</v>
      </c>
      <c r="I289" s="3" t="s">
        <v>95</v>
      </c>
      <c r="J289" s="3" t="s">
        <v>96</v>
      </c>
      <c r="M289" s="3" t="s">
        <v>97</v>
      </c>
      <c r="N289" s="3" t="s">
        <v>98</v>
      </c>
      <c r="O289" s="3" t="s">
        <v>78</v>
      </c>
      <c r="P289" s="3" t="s">
        <v>79</v>
      </c>
      <c r="Q289" s="3" t="s">
        <v>1552</v>
      </c>
      <c r="R289" s="3" t="s">
        <v>200</v>
      </c>
      <c r="S289" s="18">
        <v>1.49</v>
      </c>
      <c r="T289" s="18">
        <v>22.1</v>
      </c>
      <c r="U289" s="18">
        <v>30.95</v>
      </c>
      <c r="Z289" s="3" t="s">
        <v>264</v>
      </c>
      <c r="AC289" s="3" t="s">
        <v>102</v>
      </c>
      <c r="AD289" s="5">
        <v>31.501934120883899</v>
      </c>
      <c r="AE289" s="17">
        <v>-82.850675148744003</v>
      </c>
      <c r="AH289" s="3">
        <v>2009</v>
      </c>
      <c r="AI289" s="3">
        <v>9</v>
      </c>
      <c r="AJ289" s="8">
        <v>20</v>
      </c>
      <c r="AK289" s="3">
        <v>2009</v>
      </c>
      <c r="AL289" s="3">
        <v>9</v>
      </c>
      <c r="AM289" s="3">
        <v>21</v>
      </c>
      <c r="AN289" s="29">
        <v>9</v>
      </c>
      <c r="AP289" s="3">
        <v>3000</v>
      </c>
      <c r="AR289" s="3">
        <v>3000</v>
      </c>
      <c r="AU289" s="3">
        <v>200000</v>
      </c>
      <c r="AV289" s="3">
        <v>272825</v>
      </c>
      <c r="AW289" s="3">
        <v>500000</v>
      </c>
      <c r="AX289" s="3">
        <v>682061</v>
      </c>
      <c r="AY289" s="3">
        <v>73.307176721938703</v>
      </c>
      <c r="AZ289" s="3" t="s">
        <v>206</v>
      </c>
      <c r="BA289" s="3" t="s">
        <v>1553</v>
      </c>
      <c r="BB289" s="3" t="s">
        <v>1554</v>
      </c>
      <c r="BC289" s="3" t="s">
        <v>1555</v>
      </c>
      <c r="BD289" s="8">
        <v>4</v>
      </c>
    </row>
    <row r="290" spans="1:56" ht="14.25" customHeight="1" thickBot="1">
      <c r="A290" s="3" t="s">
        <v>1556</v>
      </c>
      <c r="B290" s="3" t="s">
        <v>1241</v>
      </c>
      <c r="C290" s="3" t="s">
        <v>1557</v>
      </c>
      <c r="E290" s="3" t="s">
        <v>71</v>
      </c>
      <c r="F290" s="3">
        <f t="shared" si="2"/>
        <v>3</v>
      </c>
      <c r="G290" s="3" t="s">
        <v>119</v>
      </c>
      <c r="H290" s="3">
        <f t="shared" si="3"/>
        <v>3</v>
      </c>
      <c r="I290" s="3" t="s">
        <v>122</v>
      </c>
      <c r="J290" s="3" t="s">
        <v>600</v>
      </c>
      <c r="M290" s="3" t="s">
        <v>97</v>
      </c>
      <c r="N290" s="3" t="s">
        <v>98</v>
      </c>
      <c r="O290" s="3" t="s">
        <v>78</v>
      </c>
      <c r="P290" s="3" t="s">
        <v>79</v>
      </c>
      <c r="Q290" s="3" t="s">
        <v>1558</v>
      </c>
      <c r="S290" s="18">
        <v>0</v>
      </c>
      <c r="T290" s="18">
        <v>16.21</v>
      </c>
      <c r="U290" s="18">
        <v>25.8</v>
      </c>
      <c r="Z290" s="3" t="s">
        <v>264</v>
      </c>
      <c r="AC290" s="3" t="s">
        <v>102</v>
      </c>
      <c r="AD290" s="10">
        <v>34.018009999999997</v>
      </c>
      <c r="AE290" s="11">
        <v>-118.252684</v>
      </c>
      <c r="AH290" s="3">
        <v>2009</v>
      </c>
      <c r="AI290" s="3">
        <v>7</v>
      </c>
      <c r="AJ290" s="8">
        <v>7</v>
      </c>
      <c r="AK290" s="3">
        <v>2009</v>
      </c>
      <c r="AL290" s="3">
        <v>10</v>
      </c>
      <c r="AM290" s="3">
        <v>27</v>
      </c>
      <c r="AN290" s="29">
        <v>2</v>
      </c>
      <c r="AQ290" s="3">
        <v>192</v>
      </c>
      <c r="AR290" s="3">
        <v>192</v>
      </c>
      <c r="AY290" s="3">
        <v>73.307176721938703</v>
      </c>
      <c r="AZ290" s="3" t="s">
        <v>82</v>
      </c>
      <c r="BB290" s="3" t="s">
        <v>1559</v>
      </c>
      <c r="BC290" s="3" t="s">
        <v>1560</v>
      </c>
      <c r="BD290" s="8">
        <v>3</v>
      </c>
    </row>
    <row r="291" spans="1:56" ht="14.25" customHeight="1" thickBot="1">
      <c r="A291" s="3" t="s">
        <v>1561</v>
      </c>
      <c r="B291" s="3" t="s">
        <v>1485</v>
      </c>
      <c r="C291" s="3" t="s">
        <v>1268</v>
      </c>
      <c r="E291" s="3" t="s">
        <v>71</v>
      </c>
      <c r="F291" s="3">
        <f t="shared" si="2"/>
        <v>2</v>
      </c>
      <c r="G291" s="3" t="s">
        <v>72</v>
      </c>
      <c r="H291" s="3">
        <f t="shared" si="3"/>
        <v>2</v>
      </c>
      <c r="I291" s="3" t="s">
        <v>73</v>
      </c>
      <c r="J291" s="3" t="s">
        <v>74</v>
      </c>
      <c r="K291" s="3" t="s">
        <v>169</v>
      </c>
      <c r="M291" s="3" t="s">
        <v>97</v>
      </c>
      <c r="N291" s="3" t="s">
        <v>98</v>
      </c>
      <c r="O291" s="3" t="s">
        <v>78</v>
      </c>
      <c r="P291" s="3" t="s">
        <v>79</v>
      </c>
      <c r="Q291" s="3" t="s">
        <v>1562</v>
      </c>
      <c r="S291" s="18">
        <v>0</v>
      </c>
      <c r="T291" s="18">
        <v>0.44</v>
      </c>
      <c r="U291" s="18">
        <v>9.0399999999999991</v>
      </c>
      <c r="V291" s="3" t="s">
        <v>95</v>
      </c>
      <c r="W291" s="3" t="s">
        <v>355</v>
      </c>
      <c r="AB291" s="3">
        <v>97</v>
      </c>
      <c r="AC291" s="3" t="s">
        <v>81</v>
      </c>
      <c r="AD291" s="5">
        <v>39.164095546334202</v>
      </c>
      <c r="AE291" s="17">
        <v>-105.563930038721</v>
      </c>
      <c r="AH291" s="3">
        <v>2010</v>
      </c>
      <c r="AI291" s="3">
        <v>5</v>
      </c>
      <c r="AJ291" s="8">
        <v>10</v>
      </c>
      <c r="AK291" s="3">
        <v>2010</v>
      </c>
      <c r="AL291" s="3">
        <v>5</v>
      </c>
      <c r="AM291" s="3">
        <v>16</v>
      </c>
      <c r="AN291" s="29">
        <v>20</v>
      </c>
      <c r="AY291" s="3">
        <v>74.509444078196097</v>
      </c>
      <c r="AZ291" s="3" t="s">
        <v>89</v>
      </c>
      <c r="BA291" s="3" t="s">
        <v>1563</v>
      </c>
      <c r="BC291" s="3" t="s">
        <v>1564</v>
      </c>
      <c r="BD291" s="8">
        <v>0</v>
      </c>
    </row>
    <row r="292" spans="1:56" ht="14.25" customHeight="1" thickBot="1">
      <c r="A292" s="3" t="s">
        <v>1565</v>
      </c>
      <c r="B292" s="3" t="s">
        <v>1485</v>
      </c>
      <c r="C292" s="3" t="s">
        <v>853</v>
      </c>
      <c r="E292" s="3" t="s">
        <v>71</v>
      </c>
      <c r="F292" s="3">
        <f t="shared" si="2"/>
        <v>2</v>
      </c>
      <c r="G292" s="3" t="s">
        <v>72</v>
      </c>
      <c r="H292" s="3">
        <f t="shared" si="3"/>
        <v>2</v>
      </c>
      <c r="I292" s="3" t="s">
        <v>73</v>
      </c>
      <c r="J292" s="3" t="s">
        <v>74</v>
      </c>
      <c r="K292" s="3" t="s">
        <v>75</v>
      </c>
      <c r="M292" s="3" t="s">
        <v>97</v>
      </c>
      <c r="N292" s="3" t="s">
        <v>98</v>
      </c>
      <c r="O292" s="3" t="s">
        <v>78</v>
      </c>
      <c r="P292" s="3" t="s">
        <v>79</v>
      </c>
      <c r="Q292" s="3" t="s">
        <v>193</v>
      </c>
      <c r="S292" s="18">
        <v>21.55</v>
      </c>
      <c r="T292" s="18">
        <v>19.91</v>
      </c>
      <c r="U292" s="18">
        <v>25.7</v>
      </c>
      <c r="V292" s="3" t="s">
        <v>355</v>
      </c>
      <c r="AC292" s="3" t="s">
        <v>81</v>
      </c>
      <c r="AD292" s="5">
        <v>35.440630058582698</v>
      </c>
      <c r="AE292" s="17">
        <v>-97.367848133707</v>
      </c>
      <c r="AH292" s="3">
        <v>2010</v>
      </c>
      <c r="AI292" s="3">
        <v>5</v>
      </c>
      <c r="AJ292" s="8">
        <v>12</v>
      </c>
      <c r="AK292" s="3">
        <v>2010</v>
      </c>
      <c r="AL292" s="3">
        <v>5</v>
      </c>
      <c r="AM292" s="3">
        <v>16</v>
      </c>
      <c r="AN292" s="29">
        <v>5</v>
      </c>
      <c r="AO292" s="3">
        <v>58</v>
      </c>
      <c r="AR292" s="3">
        <v>58</v>
      </c>
      <c r="AU292" s="3">
        <v>2000000</v>
      </c>
      <c r="AV292" s="3">
        <v>2684223</v>
      </c>
      <c r="AW292" s="3">
        <v>2700000</v>
      </c>
      <c r="AX292" s="3">
        <v>3623702</v>
      </c>
      <c r="AY292" s="3">
        <v>74.509444078196097</v>
      </c>
      <c r="AZ292" s="3" t="s">
        <v>89</v>
      </c>
      <c r="BA292" s="3" t="s">
        <v>195</v>
      </c>
      <c r="BC292" s="3" t="s">
        <v>196</v>
      </c>
      <c r="BD292" s="8">
        <v>2</v>
      </c>
    </row>
    <row r="293" spans="1:56" ht="14.25" customHeight="1" thickBot="1">
      <c r="A293" s="3" t="s">
        <v>1566</v>
      </c>
      <c r="B293" s="3" t="s">
        <v>1485</v>
      </c>
      <c r="C293" s="3" t="s">
        <v>669</v>
      </c>
      <c r="E293" s="3" t="s">
        <v>71</v>
      </c>
      <c r="F293" s="3">
        <f t="shared" si="2"/>
        <v>2</v>
      </c>
      <c r="G293" s="3" t="s">
        <v>72</v>
      </c>
      <c r="H293" s="3">
        <f t="shared" si="3"/>
        <v>2</v>
      </c>
      <c r="I293" s="3" t="s">
        <v>73</v>
      </c>
      <c r="J293" s="3" t="s">
        <v>212</v>
      </c>
      <c r="L293" s="3" t="s">
        <v>1567</v>
      </c>
      <c r="M293" s="3" t="s">
        <v>97</v>
      </c>
      <c r="N293" s="3" t="s">
        <v>98</v>
      </c>
      <c r="O293" s="3" t="s">
        <v>78</v>
      </c>
      <c r="P293" s="3" t="s">
        <v>79</v>
      </c>
      <c r="Q293" s="3" t="s">
        <v>1568</v>
      </c>
      <c r="S293" s="18">
        <v>0</v>
      </c>
      <c r="T293" s="18">
        <v>19.45</v>
      </c>
      <c r="U293" s="18">
        <v>34.549999999999997</v>
      </c>
      <c r="V293" s="3" t="s">
        <v>683</v>
      </c>
      <c r="Z293" s="3" t="s">
        <v>264</v>
      </c>
      <c r="AC293" s="3" t="s">
        <v>81</v>
      </c>
      <c r="AD293" s="6">
        <v>35.672960000000003</v>
      </c>
      <c r="AE293" s="6">
        <v>-79.039292000000003</v>
      </c>
      <c r="AH293" s="3">
        <v>2010</v>
      </c>
      <c r="AI293" s="3">
        <v>9</v>
      </c>
      <c r="AJ293" s="8">
        <v>3</v>
      </c>
      <c r="AK293" s="3">
        <v>2010</v>
      </c>
      <c r="AL293" s="3">
        <v>9</v>
      </c>
      <c r="AM293" s="3">
        <v>3</v>
      </c>
      <c r="AN293" s="29">
        <v>1</v>
      </c>
      <c r="AW293" s="3">
        <v>100000</v>
      </c>
      <c r="AX293" s="3">
        <v>134211</v>
      </c>
      <c r="AY293" s="3">
        <v>74.509444078196097</v>
      </c>
      <c r="AZ293" s="3" t="s">
        <v>89</v>
      </c>
      <c r="BA293" s="3" t="s">
        <v>1569</v>
      </c>
      <c r="BC293" s="3" t="s">
        <v>1570</v>
      </c>
      <c r="BD293" s="8">
        <v>0</v>
      </c>
    </row>
    <row r="294" spans="1:56" ht="14.25" customHeight="1" thickBot="1">
      <c r="A294" s="3" t="s">
        <v>1571</v>
      </c>
      <c r="B294" s="3" t="s">
        <v>1485</v>
      </c>
      <c r="C294" s="3" t="s">
        <v>1281</v>
      </c>
      <c r="E294" s="3" t="s">
        <v>71</v>
      </c>
      <c r="F294" s="3">
        <f t="shared" si="2"/>
        <v>2</v>
      </c>
      <c r="G294" s="3" t="s">
        <v>72</v>
      </c>
      <c r="H294" s="3">
        <f t="shared" si="3"/>
        <v>2</v>
      </c>
      <c r="I294" s="3" t="s">
        <v>73</v>
      </c>
      <c r="J294" s="3" t="s">
        <v>74</v>
      </c>
      <c r="K294" s="3" t="s">
        <v>807</v>
      </c>
      <c r="M294" s="3" t="s">
        <v>97</v>
      </c>
      <c r="N294" s="3" t="s">
        <v>98</v>
      </c>
      <c r="O294" s="3" t="s">
        <v>78</v>
      </c>
      <c r="P294" s="3" t="s">
        <v>79</v>
      </c>
      <c r="Q294" s="3" t="s">
        <v>1572</v>
      </c>
      <c r="S294" s="18">
        <v>1.32</v>
      </c>
      <c r="T294" s="18">
        <v>17.07</v>
      </c>
      <c r="U294" s="18">
        <v>28.84</v>
      </c>
      <c r="V294" s="3" t="s">
        <v>95</v>
      </c>
      <c r="AC294" s="3" t="s">
        <v>81</v>
      </c>
      <c r="AD294" s="5">
        <v>40.057542020711999</v>
      </c>
      <c r="AE294" s="17">
        <v>-89.077578680975193</v>
      </c>
      <c r="AH294" s="3">
        <v>2010</v>
      </c>
      <c r="AI294" s="3">
        <v>6</v>
      </c>
      <c r="AJ294" s="8">
        <v>17</v>
      </c>
      <c r="AK294" s="3">
        <v>2010</v>
      </c>
      <c r="AL294" s="3">
        <v>6</v>
      </c>
      <c r="AM294" s="3">
        <v>20</v>
      </c>
      <c r="AN294" s="29">
        <v>20</v>
      </c>
      <c r="AO294" s="3">
        <v>100</v>
      </c>
      <c r="AR294" s="3">
        <v>100</v>
      </c>
      <c r="AU294" s="3">
        <v>800000</v>
      </c>
      <c r="AV294" s="3">
        <v>1073689</v>
      </c>
      <c r="AY294" s="3">
        <v>74.509444078196097</v>
      </c>
      <c r="AZ294" s="3" t="s">
        <v>89</v>
      </c>
      <c r="BA294" s="3" t="s">
        <v>1573</v>
      </c>
      <c r="BC294" s="3" t="s">
        <v>1574</v>
      </c>
      <c r="BD294" s="8">
        <v>3</v>
      </c>
    </row>
    <row r="295" spans="1:56" ht="14.25" customHeight="1" thickBot="1">
      <c r="A295" s="3" t="s">
        <v>1575</v>
      </c>
      <c r="B295" s="3" t="s">
        <v>1485</v>
      </c>
      <c r="C295" s="3" t="s">
        <v>1576</v>
      </c>
      <c r="E295" s="3" t="s">
        <v>71</v>
      </c>
      <c r="F295" s="3">
        <f t="shared" si="2"/>
        <v>2</v>
      </c>
      <c r="G295" s="3" t="s">
        <v>72</v>
      </c>
      <c r="H295" s="3">
        <f t="shared" si="3"/>
        <v>2</v>
      </c>
      <c r="I295" s="3" t="s">
        <v>73</v>
      </c>
      <c r="J295" s="3" t="s">
        <v>74</v>
      </c>
      <c r="K295" s="3" t="s">
        <v>169</v>
      </c>
      <c r="M295" s="3" t="s">
        <v>97</v>
      </c>
      <c r="N295" s="3" t="s">
        <v>98</v>
      </c>
      <c r="O295" s="3" t="s">
        <v>78</v>
      </c>
      <c r="P295" s="3" t="s">
        <v>79</v>
      </c>
      <c r="Q295" s="3" t="s">
        <v>1577</v>
      </c>
      <c r="R295" s="3" t="s">
        <v>200</v>
      </c>
      <c r="S295" s="18">
        <v>58.91</v>
      </c>
      <c r="T295" s="18">
        <v>10.58</v>
      </c>
      <c r="U295" s="18">
        <v>27.23</v>
      </c>
      <c r="V295" s="3" t="s">
        <v>95</v>
      </c>
      <c r="AB295" s="3">
        <v>320</v>
      </c>
      <c r="AC295" s="3" t="s">
        <v>81</v>
      </c>
      <c r="AD295" s="8">
        <v>36.07</v>
      </c>
      <c r="AE295" s="8">
        <v>-87.28</v>
      </c>
      <c r="AH295" s="3">
        <v>2010</v>
      </c>
      <c r="AI295" s="3">
        <v>4</v>
      </c>
      <c r="AJ295" s="8">
        <v>30</v>
      </c>
      <c r="AK295" s="3">
        <v>2010</v>
      </c>
      <c r="AL295" s="3">
        <v>5</v>
      </c>
      <c r="AM295" s="3">
        <v>3</v>
      </c>
      <c r="AN295" s="29">
        <v>30</v>
      </c>
      <c r="AP295" s="3">
        <v>8000</v>
      </c>
      <c r="AR295" s="3">
        <v>8000</v>
      </c>
      <c r="AU295" s="3">
        <v>800000</v>
      </c>
      <c r="AV295" s="3">
        <v>1073689</v>
      </c>
      <c r="AW295" s="3">
        <v>2350000</v>
      </c>
      <c r="AX295" s="3">
        <v>3153963</v>
      </c>
      <c r="AY295" s="3">
        <v>74.509444078196097</v>
      </c>
      <c r="AZ295" s="3" t="s">
        <v>89</v>
      </c>
      <c r="BA295" s="3" t="s">
        <v>1578</v>
      </c>
      <c r="BC295" s="3" t="s">
        <v>1579</v>
      </c>
      <c r="BD295" s="8">
        <v>4</v>
      </c>
    </row>
    <row r="296" spans="1:56" ht="14.25" customHeight="1" thickBot="1">
      <c r="A296" s="3" t="s">
        <v>1580</v>
      </c>
      <c r="B296" s="3" t="s">
        <v>1485</v>
      </c>
      <c r="C296" s="3" t="s">
        <v>1286</v>
      </c>
      <c r="E296" s="3" t="s">
        <v>71</v>
      </c>
      <c r="F296" s="3">
        <f t="shared" si="2"/>
        <v>2</v>
      </c>
      <c r="G296" s="3" t="s">
        <v>72</v>
      </c>
      <c r="H296" s="3">
        <f t="shared" si="3"/>
        <v>2</v>
      </c>
      <c r="I296" s="3" t="s">
        <v>73</v>
      </c>
      <c r="J296" s="3" t="s">
        <v>74</v>
      </c>
      <c r="M296" s="3" t="s">
        <v>97</v>
      </c>
      <c r="N296" s="3" t="s">
        <v>98</v>
      </c>
      <c r="O296" s="3" t="s">
        <v>78</v>
      </c>
      <c r="P296" s="3" t="s">
        <v>79</v>
      </c>
      <c r="Q296" s="3" t="s">
        <v>1581</v>
      </c>
      <c r="S296" s="18">
        <v>48.11</v>
      </c>
      <c r="T296" s="18">
        <v>2.69</v>
      </c>
      <c r="U296" s="18">
        <v>7.2</v>
      </c>
      <c r="V296" s="3" t="s">
        <v>95</v>
      </c>
      <c r="AC296" s="3" t="s">
        <v>81</v>
      </c>
      <c r="AD296" s="5">
        <v>41.696583857413103</v>
      </c>
      <c r="AE296" s="17">
        <v>-72.697228748541406</v>
      </c>
      <c r="AH296" s="3">
        <v>2010</v>
      </c>
      <c r="AI296" s="3">
        <v>3</v>
      </c>
      <c r="AJ296" s="8">
        <v>13</v>
      </c>
      <c r="AK296" s="3">
        <v>2010</v>
      </c>
      <c r="AL296" s="3">
        <v>3</v>
      </c>
      <c r="AM296" s="3">
        <v>15</v>
      </c>
      <c r="AN296" s="29">
        <v>11</v>
      </c>
      <c r="AU296" s="3">
        <v>1220000</v>
      </c>
      <c r="AV296" s="3">
        <v>1637376</v>
      </c>
      <c r="AW296" s="3">
        <v>1500000</v>
      </c>
      <c r="AX296" s="3">
        <v>2013168</v>
      </c>
      <c r="AY296" s="3">
        <v>74.509444078196097</v>
      </c>
      <c r="AZ296" s="3" t="s">
        <v>89</v>
      </c>
      <c r="BA296" s="3" t="s">
        <v>1582</v>
      </c>
      <c r="BC296" s="3" t="s">
        <v>1583</v>
      </c>
      <c r="BD296" s="8">
        <v>0</v>
      </c>
    </row>
    <row r="297" spans="1:56" ht="14.25" customHeight="1" thickBot="1">
      <c r="A297" s="3" t="s">
        <v>1584</v>
      </c>
      <c r="B297" s="3" t="s">
        <v>1485</v>
      </c>
      <c r="C297" s="3" t="s">
        <v>1585</v>
      </c>
      <c r="E297" s="3" t="s">
        <v>71</v>
      </c>
      <c r="F297" s="3">
        <f t="shared" si="2"/>
        <v>2</v>
      </c>
      <c r="G297" s="3" t="s">
        <v>72</v>
      </c>
      <c r="H297" s="3">
        <f t="shared" si="3"/>
        <v>2</v>
      </c>
      <c r="I297" s="3" t="s">
        <v>73</v>
      </c>
      <c r="J297" s="3" t="s">
        <v>212</v>
      </c>
      <c r="L297" s="3" t="s">
        <v>1586</v>
      </c>
      <c r="M297" s="3" t="s">
        <v>97</v>
      </c>
      <c r="N297" s="3" t="s">
        <v>98</v>
      </c>
      <c r="O297" s="3" t="s">
        <v>78</v>
      </c>
      <c r="P297" s="3" t="s">
        <v>79</v>
      </c>
      <c r="Q297" s="3" t="s">
        <v>444</v>
      </c>
      <c r="S297" s="18">
        <v>71.260000000000005</v>
      </c>
      <c r="T297" s="18">
        <v>23.47</v>
      </c>
      <c r="U297" s="18">
        <v>29.64</v>
      </c>
      <c r="V297" s="3" t="s">
        <v>95</v>
      </c>
      <c r="AC297" s="3" t="s">
        <v>81</v>
      </c>
      <c r="AD297" s="8">
        <v>28.89</v>
      </c>
      <c r="AE297" s="8">
        <v>-97.06</v>
      </c>
      <c r="AH297" s="3">
        <v>2010</v>
      </c>
      <c r="AI297" s="3">
        <v>9</v>
      </c>
      <c r="AJ297" s="8">
        <v>7</v>
      </c>
      <c r="AK297" s="3">
        <v>2010</v>
      </c>
      <c r="AL297" s="3">
        <v>9</v>
      </c>
      <c r="AM297" s="3">
        <v>11</v>
      </c>
      <c r="AN297" s="29">
        <v>8</v>
      </c>
      <c r="AY297" s="3">
        <v>74.509444078196097</v>
      </c>
      <c r="AZ297" s="3" t="s">
        <v>89</v>
      </c>
      <c r="BA297" s="3" t="s">
        <v>446</v>
      </c>
      <c r="BC297" s="3" t="s">
        <v>447</v>
      </c>
      <c r="BD297" s="8">
        <v>0</v>
      </c>
    </row>
    <row r="298" spans="1:56" ht="14.25" customHeight="1" thickBot="1">
      <c r="A298" s="3" t="s">
        <v>1587</v>
      </c>
      <c r="B298" s="3" t="s">
        <v>1485</v>
      </c>
      <c r="C298" s="3" t="s">
        <v>1588</v>
      </c>
      <c r="E298" s="3" t="s">
        <v>71</v>
      </c>
      <c r="F298" s="3">
        <f t="shared" si="2"/>
        <v>2</v>
      </c>
      <c r="G298" s="3" t="s">
        <v>72</v>
      </c>
      <c r="H298" s="3">
        <f t="shared" si="3"/>
        <v>2</v>
      </c>
      <c r="I298" s="3" t="s">
        <v>73</v>
      </c>
      <c r="J298" s="3" t="s">
        <v>74</v>
      </c>
      <c r="K298" s="3" t="s">
        <v>75</v>
      </c>
      <c r="M298" s="3" t="s">
        <v>97</v>
      </c>
      <c r="N298" s="3" t="s">
        <v>98</v>
      </c>
      <c r="O298" s="3" t="s">
        <v>78</v>
      </c>
      <c r="P298" s="3" t="s">
        <v>79</v>
      </c>
      <c r="Q298" s="3" t="s">
        <v>1589</v>
      </c>
      <c r="S298" s="18">
        <v>10.31</v>
      </c>
      <c r="T298" s="18">
        <v>17.600000000000001</v>
      </c>
      <c r="U298" s="18">
        <v>28.52</v>
      </c>
      <c r="Z298" s="3" t="s">
        <v>264</v>
      </c>
      <c r="AB298" s="3">
        <v>241</v>
      </c>
      <c r="AC298" s="3" t="s">
        <v>81</v>
      </c>
      <c r="AD298" s="10">
        <v>32.857230000000001</v>
      </c>
      <c r="AE298" s="11">
        <v>-90.407511999999997</v>
      </c>
      <c r="AH298" s="3">
        <v>2010</v>
      </c>
      <c r="AI298" s="3">
        <v>4</v>
      </c>
      <c r="AJ298" s="8">
        <v>24</v>
      </c>
      <c r="AK298" s="3">
        <v>2010</v>
      </c>
      <c r="AL298" s="3">
        <v>4</v>
      </c>
      <c r="AM298" s="3">
        <v>24</v>
      </c>
      <c r="AN298" s="29">
        <v>12</v>
      </c>
      <c r="AO298" s="3">
        <v>70</v>
      </c>
      <c r="AP298" s="3">
        <v>2700</v>
      </c>
      <c r="AR298" s="3">
        <v>2770</v>
      </c>
      <c r="AY298" s="3">
        <v>74.509444078196097</v>
      </c>
      <c r="AZ298" s="3" t="s">
        <v>206</v>
      </c>
      <c r="BA298" s="3" t="s">
        <v>1590</v>
      </c>
      <c r="BB298" s="3" t="s">
        <v>1591</v>
      </c>
      <c r="BC298" s="3" t="s">
        <v>1592</v>
      </c>
      <c r="BD298" s="8">
        <v>4</v>
      </c>
    </row>
    <row r="299" spans="1:56" ht="14.25" customHeight="1" thickBot="1">
      <c r="A299" s="3" t="s">
        <v>1593</v>
      </c>
      <c r="B299" s="3" t="s">
        <v>1485</v>
      </c>
      <c r="C299" s="3" t="s">
        <v>771</v>
      </c>
      <c r="E299" s="3" t="s">
        <v>71</v>
      </c>
      <c r="F299" s="3">
        <f t="shared" si="2"/>
        <v>2</v>
      </c>
      <c r="G299" s="3" t="s">
        <v>72</v>
      </c>
      <c r="H299" s="3">
        <f t="shared" si="3"/>
        <v>2</v>
      </c>
      <c r="I299" s="3" t="s">
        <v>73</v>
      </c>
      <c r="J299" s="3" t="s">
        <v>74</v>
      </c>
      <c r="K299" s="3" t="s">
        <v>75</v>
      </c>
      <c r="M299" s="3" t="s">
        <v>97</v>
      </c>
      <c r="N299" s="3" t="s">
        <v>98</v>
      </c>
      <c r="O299" s="3" t="s">
        <v>78</v>
      </c>
      <c r="P299" s="3" t="s">
        <v>79</v>
      </c>
      <c r="Q299" s="3" t="s">
        <v>1594</v>
      </c>
      <c r="S299" s="18">
        <v>4.91</v>
      </c>
      <c r="T299" s="18">
        <v>10.94</v>
      </c>
      <c r="U299" s="18">
        <v>20.92</v>
      </c>
      <c r="AC299" s="3" t="s">
        <v>81</v>
      </c>
      <c r="AD299" s="6">
        <v>35.204889999999999</v>
      </c>
      <c r="AE299" s="6">
        <v>-92.447911000000005</v>
      </c>
      <c r="AH299" s="3">
        <v>2010</v>
      </c>
      <c r="AI299" s="3">
        <v>12</v>
      </c>
      <c r="AJ299" s="8">
        <v>31</v>
      </c>
      <c r="AK299" s="3">
        <v>2011</v>
      </c>
      <c r="AL299" s="3">
        <v>1</v>
      </c>
      <c r="AM299" s="3">
        <v>1</v>
      </c>
      <c r="AN299" s="29">
        <v>8</v>
      </c>
      <c r="AO299" s="3">
        <v>13</v>
      </c>
      <c r="AR299" s="3">
        <v>13</v>
      </c>
      <c r="AY299" s="3">
        <v>74.509444078196097</v>
      </c>
      <c r="AZ299" s="3" t="s">
        <v>89</v>
      </c>
      <c r="BA299" s="3" t="s">
        <v>1595</v>
      </c>
      <c r="BC299" s="3" t="s">
        <v>1596</v>
      </c>
      <c r="BD299" s="8">
        <v>2</v>
      </c>
    </row>
    <row r="300" spans="1:56" ht="14.25" customHeight="1" thickBot="1">
      <c r="A300" s="3" t="s">
        <v>1597</v>
      </c>
      <c r="B300" s="3" t="s">
        <v>1485</v>
      </c>
      <c r="C300" s="3" t="s">
        <v>1598</v>
      </c>
      <c r="E300" s="3" t="s">
        <v>71</v>
      </c>
      <c r="F300" s="3">
        <f t="shared" si="2"/>
        <v>2</v>
      </c>
      <c r="G300" s="3" t="s">
        <v>72</v>
      </c>
      <c r="H300" s="3">
        <f t="shared" si="3"/>
        <v>2</v>
      </c>
      <c r="I300" s="3" t="s">
        <v>73</v>
      </c>
      <c r="J300" s="3" t="s">
        <v>74</v>
      </c>
      <c r="K300" s="3" t="s">
        <v>127</v>
      </c>
      <c r="M300" s="3" t="s">
        <v>97</v>
      </c>
      <c r="N300" s="3" t="s">
        <v>98</v>
      </c>
      <c r="O300" s="3" t="s">
        <v>78</v>
      </c>
      <c r="P300" s="3" t="s">
        <v>79</v>
      </c>
      <c r="Q300" s="3" t="s">
        <v>1599</v>
      </c>
      <c r="S300" s="18">
        <v>16.260000000000002</v>
      </c>
      <c r="T300" s="18">
        <v>-3.92</v>
      </c>
      <c r="U300" s="18">
        <v>2.81</v>
      </c>
      <c r="Z300" s="3" t="s">
        <v>264</v>
      </c>
      <c r="AC300" s="3" t="s">
        <v>81</v>
      </c>
      <c r="AD300" s="6">
        <v>40.075740000000003</v>
      </c>
      <c r="AE300" s="6">
        <v>-74.404161999999999</v>
      </c>
      <c r="AH300" s="3">
        <v>2010</v>
      </c>
      <c r="AI300" s="3">
        <v>2</v>
      </c>
      <c r="AJ300" s="8">
        <v>5</v>
      </c>
      <c r="AK300" s="3">
        <v>2010</v>
      </c>
      <c r="AL300" s="3">
        <v>2</v>
      </c>
      <c r="AM300" s="3">
        <v>11</v>
      </c>
      <c r="AN300" s="29">
        <v>2</v>
      </c>
      <c r="AW300" s="3">
        <v>2000000</v>
      </c>
      <c r="AX300" s="3">
        <v>2684223</v>
      </c>
      <c r="AY300" s="3">
        <v>74.509444078196097</v>
      </c>
      <c r="AZ300" s="3" t="s">
        <v>89</v>
      </c>
      <c r="BA300" s="3" t="s">
        <v>1600</v>
      </c>
      <c r="BC300" s="3" t="s">
        <v>1601</v>
      </c>
      <c r="BD300" s="8">
        <v>0</v>
      </c>
    </row>
    <row r="301" spans="1:56" ht="14.25" customHeight="1" thickBot="1">
      <c r="A301" s="3" t="s">
        <v>1602</v>
      </c>
      <c r="B301" s="3" t="s">
        <v>1485</v>
      </c>
      <c r="C301" s="3" t="s">
        <v>1603</v>
      </c>
      <c r="E301" s="3" t="s">
        <v>71</v>
      </c>
      <c r="F301" s="3">
        <f t="shared" si="2"/>
        <v>2</v>
      </c>
      <c r="G301" s="3" t="s">
        <v>72</v>
      </c>
      <c r="H301" s="3">
        <f t="shared" si="3"/>
        <v>2</v>
      </c>
      <c r="I301" s="3" t="s">
        <v>73</v>
      </c>
      <c r="J301" s="3" t="s">
        <v>74</v>
      </c>
      <c r="K301" s="3" t="s">
        <v>127</v>
      </c>
      <c r="M301" s="3" t="s">
        <v>97</v>
      </c>
      <c r="N301" s="3" t="s">
        <v>98</v>
      </c>
      <c r="O301" s="3" t="s">
        <v>78</v>
      </c>
      <c r="P301" s="3" t="s">
        <v>79</v>
      </c>
      <c r="Q301" s="3" t="s">
        <v>1604</v>
      </c>
      <c r="S301" s="18">
        <v>29.55</v>
      </c>
      <c r="T301" s="18">
        <v>0.52</v>
      </c>
      <c r="U301" s="18">
        <v>4.49</v>
      </c>
      <c r="Z301" s="3" t="s">
        <v>264</v>
      </c>
      <c r="AB301" s="3">
        <v>151</v>
      </c>
      <c r="AC301" s="3" t="s">
        <v>81</v>
      </c>
      <c r="AD301" s="6">
        <v>40.075740000000003</v>
      </c>
      <c r="AE301" s="6">
        <v>-74.404161999999999</v>
      </c>
      <c r="AH301" s="3">
        <v>2010</v>
      </c>
      <c r="AI301" s="3">
        <v>2</v>
      </c>
      <c r="AJ301" s="8">
        <v>23</v>
      </c>
      <c r="AK301" s="3">
        <v>2010</v>
      </c>
      <c r="AL301" s="3">
        <v>2</v>
      </c>
      <c r="AM301" s="3">
        <v>28</v>
      </c>
      <c r="AN301" s="29">
        <v>1</v>
      </c>
      <c r="AU301" s="3">
        <v>450000</v>
      </c>
      <c r="AV301" s="3">
        <v>603950</v>
      </c>
      <c r="AW301" s="3">
        <v>500000</v>
      </c>
      <c r="AX301" s="3">
        <v>671056</v>
      </c>
      <c r="AY301" s="3">
        <v>74.509444078196097</v>
      </c>
      <c r="AZ301" s="3" t="s">
        <v>89</v>
      </c>
      <c r="BA301" s="3" t="s">
        <v>1605</v>
      </c>
      <c r="BC301" s="3" t="s">
        <v>1606</v>
      </c>
      <c r="BD301" s="8">
        <v>0</v>
      </c>
    </row>
    <row r="302" spans="1:56" ht="14.25" customHeight="1" thickBot="1">
      <c r="A302" s="3" t="s">
        <v>1607</v>
      </c>
      <c r="B302" s="3" t="s">
        <v>1485</v>
      </c>
      <c r="C302" s="3" t="s">
        <v>1486</v>
      </c>
      <c r="E302" s="3" t="s">
        <v>71</v>
      </c>
      <c r="F302" s="3">
        <f t="shared" si="2"/>
        <v>2</v>
      </c>
      <c r="G302" s="3" t="s">
        <v>72</v>
      </c>
      <c r="H302" s="3">
        <f t="shared" si="3"/>
        <v>2</v>
      </c>
      <c r="I302" s="3" t="s">
        <v>73</v>
      </c>
      <c r="J302" s="3" t="s">
        <v>74</v>
      </c>
      <c r="K302" s="3" t="s">
        <v>127</v>
      </c>
      <c r="M302" s="3" t="s">
        <v>97</v>
      </c>
      <c r="N302" s="3" t="s">
        <v>98</v>
      </c>
      <c r="O302" s="3" t="s">
        <v>78</v>
      </c>
      <c r="P302" s="3" t="s">
        <v>79</v>
      </c>
      <c r="Q302" s="3" t="s">
        <v>1608</v>
      </c>
      <c r="S302" s="18">
        <v>0</v>
      </c>
      <c r="T302" s="18">
        <v>-0.06</v>
      </c>
      <c r="U302" s="18">
        <v>8.86</v>
      </c>
      <c r="Z302" s="3" t="s">
        <v>264</v>
      </c>
      <c r="AC302" s="3" t="s">
        <v>81</v>
      </c>
      <c r="AD302" s="8">
        <v>39.630000000000003</v>
      </c>
      <c r="AE302" s="8">
        <v>-119.2</v>
      </c>
      <c r="AH302" s="3">
        <v>2010</v>
      </c>
      <c r="AI302" s="3">
        <v>12</v>
      </c>
      <c r="AJ302" s="8">
        <v>26</v>
      </c>
      <c r="AK302" s="3">
        <v>2010</v>
      </c>
      <c r="AL302" s="3">
        <v>12</v>
      </c>
      <c r="AM302" s="3">
        <v>26</v>
      </c>
      <c r="AN302" s="29">
        <v>0</v>
      </c>
      <c r="AY302" s="3">
        <v>74.509444078196097</v>
      </c>
      <c r="AZ302" s="3" t="s">
        <v>206</v>
      </c>
      <c r="BA302" s="3" t="s">
        <v>1609</v>
      </c>
      <c r="BB302" s="3" t="s">
        <v>1610</v>
      </c>
      <c r="BC302" s="3" t="s">
        <v>1611</v>
      </c>
      <c r="BD302" s="8">
        <v>0</v>
      </c>
    </row>
    <row r="303" spans="1:56" ht="14.25" customHeight="1" thickBot="1">
      <c r="A303" s="3" t="s">
        <v>1612</v>
      </c>
      <c r="B303" s="3" t="s">
        <v>1485</v>
      </c>
      <c r="C303" s="3" t="s">
        <v>1613</v>
      </c>
      <c r="E303" s="3" t="s">
        <v>71</v>
      </c>
      <c r="F303" s="3">
        <f t="shared" si="2"/>
        <v>5</v>
      </c>
      <c r="G303" s="3" t="s">
        <v>175</v>
      </c>
      <c r="H303" s="3">
        <f t="shared" si="3"/>
        <v>6</v>
      </c>
      <c r="I303" s="3" t="s">
        <v>176</v>
      </c>
      <c r="J303" s="3" t="s">
        <v>177</v>
      </c>
      <c r="M303" s="3" t="s">
        <v>97</v>
      </c>
      <c r="N303" s="3" t="s">
        <v>98</v>
      </c>
      <c r="O303" s="3" t="s">
        <v>78</v>
      </c>
      <c r="P303" s="3" t="s">
        <v>79</v>
      </c>
      <c r="Q303" s="3" t="s">
        <v>1614</v>
      </c>
      <c r="S303" s="18">
        <v>0</v>
      </c>
      <c r="T303" s="18">
        <v>1.1599999999999999</v>
      </c>
      <c r="U303" s="18">
        <v>13.13</v>
      </c>
      <c r="AB303" s="3">
        <v>7</v>
      </c>
      <c r="AC303" s="3" t="s">
        <v>179</v>
      </c>
      <c r="AD303" s="6">
        <v>36.701459999999997</v>
      </c>
      <c r="AE303" s="6">
        <v>-118.75599699999999</v>
      </c>
      <c r="AF303" s="3" t="s">
        <v>1615</v>
      </c>
      <c r="AH303" s="3">
        <v>2010</v>
      </c>
      <c r="AI303" s="3">
        <v>1</v>
      </c>
      <c r="AJ303" s="8">
        <v>10</v>
      </c>
      <c r="AK303" s="3">
        <v>2010</v>
      </c>
      <c r="AL303" s="3">
        <v>1</v>
      </c>
      <c r="AM303" s="3">
        <v>10</v>
      </c>
      <c r="AN303" s="29">
        <v>0</v>
      </c>
      <c r="AO303" s="3">
        <v>30</v>
      </c>
      <c r="AP303" s="3">
        <v>600</v>
      </c>
      <c r="AR303" s="3">
        <v>630</v>
      </c>
      <c r="AW303" s="3">
        <v>12500</v>
      </c>
      <c r="AX303" s="3">
        <v>16776</v>
      </c>
      <c r="AY303" s="3">
        <v>74.509444078196097</v>
      </c>
      <c r="AZ303" s="3" t="s">
        <v>82</v>
      </c>
      <c r="BB303" s="3" t="s">
        <v>1616</v>
      </c>
      <c r="BC303" s="3" t="s">
        <v>1617</v>
      </c>
      <c r="BD303" s="8">
        <v>3</v>
      </c>
    </row>
    <row r="304" spans="1:56" ht="14.25" customHeight="1" thickBot="1">
      <c r="A304" s="3" t="s">
        <v>1618</v>
      </c>
      <c r="B304" s="3" t="s">
        <v>1485</v>
      </c>
      <c r="C304" s="3" t="s">
        <v>1619</v>
      </c>
      <c r="E304" s="3" t="s">
        <v>71</v>
      </c>
      <c r="F304" s="3">
        <f t="shared" si="2"/>
        <v>1</v>
      </c>
      <c r="G304" s="3" t="s">
        <v>94</v>
      </c>
      <c r="H304" s="3">
        <f t="shared" si="3"/>
        <v>1</v>
      </c>
      <c r="I304" s="3" t="s">
        <v>95</v>
      </c>
      <c r="J304" s="3" t="s">
        <v>96</v>
      </c>
      <c r="M304" s="3" t="s">
        <v>97</v>
      </c>
      <c r="N304" s="3" t="s">
        <v>98</v>
      </c>
      <c r="O304" s="3" t="s">
        <v>78</v>
      </c>
      <c r="P304" s="3" t="s">
        <v>79</v>
      </c>
      <c r="Q304" s="3" t="s">
        <v>1620</v>
      </c>
      <c r="R304" s="3" t="s">
        <v>1621</v>
      </c>
      <c r="S304" s="18">
        <v>0</v>
      </c>
      <c r="T304" s="18">
        <v>-1.56</v>
      </c>
      <c r="U304" s="18">
        <v>8.0500000000000007</v>
      </c>
      <c r="Z304" s="3" t="s">
        <v>264</v>
      </c>
      <c r="AB304" s="3">
        <v>240301</v>
      </c>
      <c r="AC304" s="3" t="s">
        <v>102</v>
      </c>
      <c r="AD304" s="8">
        <v>39.479999999999997</v>
      </c>
      <c r="AE304" s="8">
        <v>-74.87</v>
      </c>
      <c r="AH304" s="3">
        <v>2010</v>
      </c>
      <c r="AI304" s="3">
        <v>3</v>
      </c>
      <c r="AJ304" s="8">
        <v>27</v>
      </c>
      <c r="AK304" s="3">
        <v>2010</v>
      </c>
      <c r="AL304" s="3">
        <v>3</v>
      </c>
      <c r="AM304" s="3">
        <v>31</v>
      </c>
      <c r="AN304" s="29">
        <v>0</v>
      </c>
      <c r="AY304" s="3">
        <v>74.509444078196097</v>
      </c>
      <c r="AZ304" s="3" t="s">
        <v>89</v>
      </c>
      <c r="BA304" s="3" t="s">
        <v>1622</v>
      </c>
      <c r="BC304" s="3" t="s">
        <v>1623</v>
      </c>
      <c r="BD304" s="8">
        <v>0</v>
      </c>
    </row>
    <row r="305" spans="1:56" ht="14.25" customHeight="1" thickBot="1">
      <c r="A305" s="3" t="s">
        <v>1624</v>
      </c>
      <c r="B305" s="3" t="s">
        <v>1485</v>
      </c>
      <c r="C305" s="3" t="s">
        <v>1625</v>
      </c>
      <c r="E305" s="3" t="s">
        <v>71</v>
      </c>
      <c r="F305" s="3">
        <f t="shared" si="2"/>
        <v>1</v>
      </c>
      <c r="G305" s="3" t="s">
        <v>94</v>
      </c>
      <c r="H305" s="3">
        <f t="shared" si="3"/>
        <v>1</v>
      </c>
      <c r="I305" s="3" t="s">
        <v>95</v>
      </c>
      <c r="J305" s="3" t="s">
        <v>96</v>
      </c>
      <c r="M305" s="3" t="s">
        <v>97</v>
      </c>
      <c r="N305" s="3" t="s">
        <v>98</v>
      </c>
      <c r="O305" s="3" t="s">
        <v>78</v>
      </c>
      <c r="P305" s="3" t="s">
        <v>79</v>
      </c>
      <c r="Q305" s="3" t="s">
        <v>1626</v>
      </c>
      <c r="R305" s="3" t="s">
        <v>200</v>
      </c>
      <c r="S305" s="18">
        <v>0</v>
      </c>
      <c r="T305" s="18">
        <v>19.07</v>
      </c>
      <c r="U305" s="18">
        <v>24.28</v>
      </c>
      <c r="AC305" s="3" t="s">
        <v>102</v>
      </c>
      <c r="AD305" s="8">
        <v>34.58</v>
      </c>
      <c r="AE305" s="8">
        <v>-95.1</v>
      </c>
      <c r="AH305" s="3">
        <v>2010</v>
      </c>
      <c r="AI305" s="3">
        <v>6</v>
      </c>
      <c r="AJ305" s="8">
        <v>10</v>
      </c>
      <c r="AK305" s="3">
        <v>2010</v>
      </c>
      <c r="AL305" s="3">
        <v>6</v>
      </c>
      <c r="AM305" s="3">
        <v>11</v>
      </c>
      <c r="AN305" s="29">
        <v>20</v>
      </c>
      <c r="AY305" s="3">
        <v>74.509444078196097</v>
      </c>
      <c r="AZ305" s="3" t="s">
        <v>89</v>
      </c>
      <c r="BA305" s="3" t="s">
        <v>1627</v>
      </c>
      <c r="BC305" s="3" t="s">
        <v>1628</v>
      </c>
      <c r="BD305" s="8">
        <v>0</v>
      </c>
    </row>
    <row r="306" spans="1:56" ht="14.25" customHeight="1" thickBot="1">
      <c r="A306" s="3" t="s">
        <v>1629</v>
      </c>
      <c r="B306" s="3" t="s">
        <v>1485</v>
      </c>
      <c r="C306" s="3" t="s">
        <v>1630</v>
      </c>
      <c r="E306" s="3" t="s">
        <v>71</v>
      </c>
      <c r="F306" s="3">
        <f t="shared" si="2"/>
        <v>1</v>
      </c>
      <c r="G306" s="3" t="s">
        <v>94</v>
      </c>
      <c r="H306" s="3">
        <f t="shared" si="3"/>
        <v>1</v>
      </c>
      <c r="I306" s="3" t="s">
        <v>95</v>
      </c>
      <c r="J306" s="3" t="s">
        <v>96</v>
      </c>
      <c r="M306" s="3" t="s">
        <v>97</v>
      </c>
      <c r="N306" s="3" t="s">
        <v>98</v>
      </c>
      <c r="O306" s="3" t="s">
        <v>78</v>
      </c>
      <c r="P306" s="3" t="s">
        <v>79</v>
      </c>
      <c r="Q306" s="3" t="s">
        <v>1631</v>
      </c>
      <c r="R306" s="3" t="s">
        <v>200</v>
      </c>
      <c r="S306" s="18">
        <v>25.22</v>
      </c>
      <c r="T306" s="18">
        <v>2.99</v>
      </c>
      <c r="U306" s="18">
        <v>9.64</v>
      </c>
      <c r="Z306" s="3" t="s">
        <v>264</v>
      </c>
      <c r="AB306" s="3">
        <v>355567</v>
      </c>
      <c r="AC306" s="3" t="s">
        <v>102</v>
      </c>
      <c r="AD306" s="8">
        <v>38.849699999999999</v>
      </c>
      <c r="AE306" s="8">
        <v>-120.73</v>
      </c>
      <c r="AH306" s="3">
        <v>2010</v>
      </c>
      <c r="AI306" s="3">
        <v>12</v>
      </c>
      <c r="AJ306" s="8">
        <v>19</v>
      </c>
      <c r="AK306" s="3">
        <v>2010</v>
      </c>
      <c r="AL306" s="3">
        <v>12</v>
      </c>
      <c r="AM306" s="3">
        <v>19</v>
      </c>
      <c r="AN306" s="29">
        <v>0</v>
      </c>
      <c r="AP306" s="3">
        <v>1000</v>
      </c>
      <c r="AR306" s="3">
        <v>1000</v>
      </c>
      <c r="AY306" s="3">
        <v>74.509444078196097</v>
      </c>
      <c r="AZ306" s="3" t="s">
        <v>206</v>
      </c>
      <c r="BA306" s="3" t="s">
        <v>1632</v>
      </c>
      <c r="BB306" s="3" t="s">
        <v>1633</v>
      </c>
      <c r="BC306" s="3" t="s">
        <v>1634</v>
      </c>
      <c r="BD306" s="8">
        <v>4</v>
      </c>
    </row>
    <row r="307" spans="1:56" ht="14.25" customHeight="1" thickBot="1">
      <c r="A307" s="3" t="s">
        <v>1635</v>
      </c>
      <c r="B307" s="3" t="s">
        <v>1491</v>
      </c>
      <c r="C307" s="3" t="s">
        <v>1636</v>
      </c>
      <c r="E307" s="3" t="s">
        <v>71</v>
      </c>
      <c r="F307" s="3">
        <f t="shared" si="2"/>
        <v>2</v>
      </c>
      <c r="G307" s="3" t="s">
        <v>72</v>
      </c>
      <c r="H307" s="3">
        <f t="shared" si="3"/>
        <v>2</v>
      </c>
      <c r="I307" s="3" t="s">
        <v>73</v>
      </c>
      <c r="J307" s="3" t="s">
        <v>74</v>
      </c>
      <c r="K307" s="3" t="s">
        <v>75</v>
      </c>
      <c r="M307" s="3" t="s">
        <v>97</v>
      </c>
      <c r="N307" s="3" t="s">
        <v>98</v>
      </c>
      <c r="O307" s="3" t="s">
        <v>78</v>
      </c>
      <c r="P307" s="3" t="s">
        <v>79</v>
      </c>
      <c r="Q307" s="3" t="s">
        <v>1637</v>
      </c>
      <c r="S307" s="18">
        <v>0</v>
      </c>
      <c r="T307" s="18">
        <v>15.12</v>
      </c>
      <c r="U307" s="18">
        <v>28.84</v>
      </c>
      <c r="V307" s="3" t="s">
        <v>95</v>
      </c>
      <c r="W307" s="3" t="s">
        <v>355</v>
      </c>
      <c r="Z307" s="3" t="s">
        <v>264</v>
      </c>
      <c r="AB307" s="3">
        <v>260</v>
      </c>
      <c r="AC307" s="3" t="s">
        <v>81</v>
      </c>
      <c r="AD307" s="6">
        <v>40.079659999999997</v>
      </c>
      <c r="AE307" s="6">
        <v>-89.433729</v>
      </c>
      <c r="AH307" s="3">
        <v>2011</v>
      </c>
      <c r="AI307" s="3">
        <v>5</v>
      </c>
      <c r="AJ307" s="8">
        <v>29</v>
      </c>
      <c r="AK307" s="3">
        <v>2011</v>
      </c>
      <c r="AL307" s="3">
        <v>6</v>
      </c>
      <c r="AM307" s="3">
        <v>1</v>
      </c>
      <c r="AN307" s="29">
        <v>3</v>
      </c>
      <c r="AO307" s="3">
        <v>200</v>
      </c>
      <c r="AR307" s="3">
        <v>200</v>
      </c>
      <c r="AU307" s="3">
        <v>450000</v>
      </c>
      <c r="AV307" s="3">
        <v>585468</v>
      </c>
      <c r="AY307" s="3">
        <v>76.861595377819796</v>
      </c>
      <c r="AZ307" s="3" t="s">
        <v>89</v>
      </c>
      <c r="BA307" s="3" t="s">
        <v>1638</v>
      </c>
      <c r="BC307" s="3" t="s">
        <v>1639</v>
      </c>
      <c r="BD307" s="8">
        <v>3</v>
      </c>
    </row>
    <row r="308" spans="1:56" ht="14.25" customHeight="1" thickBot="1">
      <c r="A308" s="3" t="s">
        <v>1640</v>
      </c>
      <c r="B308" s="3" t="s">
        <v>1491</v>
      </c>
      <c r="C308" s="3" t="s">
        <v>921</v>
      </c>
      <c r="E308" s="3" t="s">
        <v>71</v>
      </c>
      <c r="F308" s="3">
        <f t="shared" si="2"/>
        <v>2</v>
      </c>
      <c r="G308" s="3" t="s">
        <v>72</v>
      </c>
      <c r="H308" s="3">
        <f t="shared" si="3"/>
        <v>2</v>
      </c>
      <c r="I308" s="3" t="s">
        <v>73</v>
      </c>
      <c r="J308" s="3" t="s">
        <v>74</v>
      </c>
      <c r="K308" s="3" t="s">
        <v>127</v>
      </c>
      <c r="M308" s="3" t="s">
        <v>97</v>
      </c>
      <c r="N308" s="3" t="s">
        <v>98</v>
      </c>
      <c r="O308" s="3" t="s">
        <v>78</v>
      </c>
      <c r="P308" s="3" t="s">
        <v>79</v>
      </c>
      <c r="Q308" s="3" t="s">
        <v>1641</v>
      </c>
      <c r="S308" s="18">
        <v>23.35</v>
      </c>
      <c r="T308" s="16">
        <v>-3.16</v>
      </c>
      <c r="U308" s="18">
        <v>8.35</v>
      </c>
      <c r="V308" s="3" t="s">
        <v>114</v>
      </c>
      <c r="AC308" s="3" t="s">
        <v>81</v>
      </c>
      <c r="AD308" s="6">
        <v>34.955080000000002</v>
      </c>
      <c r="AE308" s="6">
        <v>-97.268405999999999</v>
      </c>
      <c r="AH308" s="3">
        <v>2011</v>
      </c>
      <c r="AI308" s="3">
        <v>1</v>
      </c>
      <c r="AJ308" s="8">
        <v>31</v>
      </c>
      <c r="AK308" s="3">
        <v>2011</v>
      </c>
      <c r="AL308" s="3">
        <v>2</v>
      </c>
      <c r="AM308" s="3">
        <v>2</v>
      </c>
      <c r="AN308" s="29">
        <v>39</v>
      </c>
      <c r="AU308" s="3">
        <v>1425000</v>
      </c>
      <c r="AV308" s="3">
        <v>1853982</v>
      </c>
      <c r="AW308" s="3">
        <v>1900000</v>
      </c>
      <c r="AX308" s="3">
        <v>2471976</v>
      </c>
      <c r="AY308" s="3">
        <v>76.861595377819796</v>
      </c>
      <c r="AZ308" s="3" t="s">
        <v>89</v>
      </c>
      <c r="BA308" s="3" t="s">
        <v>1642</v>
      </c>
      <c r="BC308" s="3" t="s">
        <v>1643</v>
      </c>
      <c r="BD308" s="8">
        <v>0</v>
      </c>
    </row>
    <row r="309" spans="1:56" ht="14.25" customHeight="1" thickBot="1">
      <c r="A309" s="3" t="s">
        <v>1644</v>
      </c>
      <c r="B309" s="3" t="s">
        <v>1491</v>
      </c>
      <c r="C309" s="3" t="s">
        <v>1492</v>
      </c>
      <c r="D309" s="3" t="s">
        <v>1493</v>
      </c>
      <c r="E309" s="3" t="s">
        <v>71</v>
      </c>
      <c r="F309" s="3">
        <f t="shared" si="2"/>
        <v>2</v>
      </c>
      <c r="G309" s="3" t="s">
        <v>72</v>
      </c>
      <c r="H309" s="3">
        <f t="shared" si="3"/>
        <v>2</v>
      </c>
      <c r="I309" s="3" t="s">
        <v>73</v>
      </c>
      <c r="J309" s="3" t="s">
        <v>212</v>
      </c>
      <c r="L309" s="3" t="s">
        <v>1494</v>
      </c>
      <c r="M309" s="3" t="s">
        <v>371</v>
      </c>
      <c r="N309" s="3" t="s">
        <v>372</v>
      </c>
      <c r="O309" s="3" t="s">
        <v>373</v>
      </c>
      <c r="P309" s="3" t="s">
        <v>79</v>
      </c>
      <c r="Q309" s="3" t="s">
        <v>725</v>
      </c>
      <c r="S309" s="18">
        <v>14.46</v>
      </c>
      <c r="T309" s="18">
        <v>21.64</v>
      </c>
      <c r="U309" s="18">
        <v>32</v>
      </c>
      <c r="V309" s="3" t="s">
        <v>95</v>
      </c>
      <c r="Z309" s="3" t="s">
        <v>264</v>
      </c>
      <c r="AB309" s="3">
        <v>130</v>
      </c>
      <c r="AC309" s="3" t="s">
        <v>81</v>
      </c>
      <c r="AD309" s="6">
        <v>18.468679999999999</v>
      </c>
      <c r="AE309" s="6">
        <v>-67.154452000000006</v>
      </c>
      <c r="AH309" s="3">
        <v>2011</v>
      </c>
      <c r="AI309" s="3">
        <v>8</v>
      </c>
      <c r="AJ309" s="8">
        <v>22</v>
      </c>
      <c r="AK309" s="3">
        <v>2011</v>
      </c>
      <c r="AL309" s="3">
        <v>8</v>
      </c>
      <c r="AM309" s="3">
        <v>22</v>
      </c>
      <c r="AN309" s="29">
        <v>1</v>
      </c>
      <c r="AP309" s="3">
        <v>1500</v>
      </c>
      <c r="AQ309" s="3">
        <v>771</v>
      </c>
      <c r="AR309" s="3">
        <v>2271</v>
      </c>
      <c r="AU309" s="3">
        <v>450000</v>
      </c>
      <c r="AV309" s="3">
        <v>585468</v>
      </c>
      <c r="AW309" s="3">
        <v>500000</v>
      </c>
      <c r="AX309" s="3">
        <v>650520</v>
      </c>
      <c r="AY309" s="3">
        <v>76.861595377819796</v>
      </c>
      <c r="AZ309" s="3" t="s">
        <v>89</v>
      </c>
      <c r="BA309" s="3" t="s">
        <v>726</v>
      </c>
      <c r="BC309" s="3" t="s">
        <v>727</v>
      </c>
      <c r="BD309" s="8">
        <v>4</v>
      </c>
    </row>
    <row r="310" spans="1:56" ht="14.25" customHeight="1" thickBot="1">
      <c r="A310" s="3" t="s">
        <v>1645</v>
      </c>
      <c r="B310" s="3" t="s">
        <v>1491</v>
      </c>
      <c r="C310" s="3" t="s">
        <v>353</v>
      </c>
      <c r="E310" s="3" t="s">
        <v>71</v>
      </c>
      <c r="F310" s="3">
        <f t="shared" si="2"/>
        <v>2</v>
      </c>
      <c r="G310" s="3" t="s">
        <v>72</v>
      </c>
      <c r="H310" s="3">
        <f t="shared" si="3"/>
        <v>2</v>
      </c>
      <c r="I310" s="3" t="s">
        <v>73</v>
      </c>
      <c r="J310" s="3" t="s">
        <v>74</v>
      </c>
      <c r="K310" s="3" t="s">
        <v>75</v>
      </c>
      <c r="M310" s="3" t="s">
        <v>97</v>
      </c>
      <c r="N310" s="3" t="s">
        <v>98</v>
      </c>
      <c r="O310" s="3" t="s">
        <v>78</v>
      </c>
      <c r="P310" s="3" t="s">
        <v>79</v>
      </c>
      <c r="Q310" s="3" t="s">
        <v>1646</v>
      </c>
      <c r="S310" s="18">
        <v>0</v>
      </c>
      <c r="T310" s="18">
        <v>15.01</v>
      </c>
      <c r="U310" s="18">
        <v>28.66</v>
      </c>
      <c r="V310" s="3" t="s">
        <v>95</v>
      </c>
      <c r="Z310" s="3" t="s">
        <v>264</v>
      </c>
      <c r="AB310" s="3">
        <v>340</v>
      </c>
      <c r="AC310" s="3" t="s">
        <v>81</v>
      </c>
      <c r="AD310" s="6">
        <v>33.258879999999998</v>
      </c>
      <c r="AE310" s="6">
        <v>-86.829533999999995</v>
      </c>
      <c r="AH310" s="3">
        <v>2011</v>
      </c>
      <c r="AI310" s="3">
        <v>4</v>
      </c>
      <c r="AJ310" s="8">
        <v>22</v>
      </c>
      <c r="AK310" s="3">
        <v>2011</v>
      </c>
      <c r="AL310" s="3">
        <v>4</v>
      </c>
      <c r="AM310" s="3">
        <v>29</v>
      </c>
      <c r="AN310" s="29">
        <v>354</v>
      </c>
      <c r="AO310" s="3">
        <v>2200</v>
      </c>
      <c r="AQ310" s="3">
        <v>15000</v>
      </c>
      <c r="AR310" s="3">
        <v>17200</v>
      </c>
      <c r="AU310" s="3">
        <v>8000000</v>
      </c>
      <c r="AV310" s="3">
        <v>10408319</v>
      </c>
      <c r="AW310" s="3">
        <v>11000000</v>
      </c>
      <c r="AX310" s="3">
        <v>14311439</v>
      </c>
      <c r="AY310" s="3">
        <v>76.861595377819796</v>
      </c>
      <c r="AZ310" s="3" t="s">
        <v>89</v>
      </c>
      <c r="BA310" s="3" t="s">
        <v>1647</v>
      </c>
      <c r="BC310" s="3" t="s">
        <v>1648</v>
      </c>
      <c r="BD310" s="8">
        <v>5</v>
      </c>
    </row>
    <row r="311" spans="1:56" ht="14.25" customHeight="1" thickBot="1">
      <c r="A311" s="3" t="s">
        <v>1649</v>
      </c>
      <c r="B311" s="3" t="s">
        <v>1491</v>
      </c>
      <c r="C311" s="3" t="s">
        <v>1492</v>
      </c>
      <c r="D311" s="3" t="s">
        <v>1493</v>
      </c>
      <c r="E311" s="3" t="s">
        <v>71</v>
      </c>
      <c r="F311" s="3">
        <f t="shared" si="2"/>
        <v>2</v>
      </c>
      <c r="G311" s="3" t="s">
        <v>72</v>
      </c>
      <c r="H311" s="3">
        <f t="shared" si="3"/>
        <v>2</v>
      </c>
      <c r="I311" s="3" t="s">
        <v>73</v>
      </c>
      <c r="J311" s="3" t="s">
        <v>212</v>
      </c>
      <c r="L311" s="3" t="s">
        <v>1494</v>
      </c>
      <c r="M311" s="3" t="s">
        <v>97</v>
      </c>
      <c r="N311" s="3" t="s">
        <v>98</v>
      </c>
      <c r="O311" s="3" t="s">
        <v>78</v>
      </c>
      <c r="P311" s="3" t="s">
        <v>79</v>
      </c>
      <c r="Q311" s="3" t="s">
        <v>1650</v>
      </c>
      <c r="S311" s="18">
        <v>84.46</v>
      </c>
      <c r="T311" s="18">
        <v>22.51</v>
      </c>
      <c r="U311" s="18">
        <v>25.66</v>
      </c>
      <c r="V311" s="3" t="s">
        <v>95</v>
      </c>
      <c r="AB311" s="3">
        <v>252912</v>
      </c>
      <c r="AC311" s="3" t="s">
        <v>81</v>
      </c>
      <c r="AD311" s="6">
        <v>40.677942000000002</v>
      </c>
      <c r="AE311" s="22">
        <v>-73.950486999999995</v>
      </c>
      <c r="AH311" s="3">
        <v>2011</v>
      </c>
      <c r="AI311" s="3">
        <v>8</v>
      </c>
      <c r="AJ311" s="8">
        <v>27</v>
      </c>
      <c r="AK311" s="3">
        <v>2011</v>
      </c>
      <c r="AL311" s="3">
        <v>9</v>
      </c>
      <c r="AM311" s="3">
        <v>13</v>
      </c>
      <c r="AN311" s="29">
        <v>46</v>
      </c>
      <c r="AP311" s="3">
        <v>370000</v>
      </c>
      <c r="AR311" s="3">
        <v>370000</v>
      </c>
      <c r="AW311" s="3">
        <v>7300000</v>
      </c>
      <c r="AX311" s="3">
        <v>9497591</v>
      </c>
      <c r="AY311" s="3">
        <v>76.861595377819796</v>
      </c>
      <c r="AZ311" s="3" t="s">
        <v>89</v>
      </c>
      <c r="BA311" s="3" t="s">
        <v>1651</v>
      </c>
      <c r="BC311" s="3" t="s">
        <v>1652</v>
      </c>
      <c r="BD311" s="8">
        <v>6</v>
      </c>
    </row>
    <row r="312" spans="1:56" ht="14.25" customHeight="1" thickBot="1">
      <c r="A312" s="3" t="s">
        <v>1653</v>
      </c>
      <c r="B312" s="3" t="s">
        <v>1491</v>
      </c>
      <c r="C312" s="3" t="s">
        <v>454</v>
      </c>
      <c r="E312" s="3" t="s">
        <v>71</v>
      </c>
      <c r="F312" s="3">
        <f t="shared" si="2"/>
        <v>2</v>
      </c>
      <c r="G312" s="3" t="s">
        <v>72</v>
      </c>
      <c r="H312" s="3">
        <f t="shared" si="3"/>
        <v>2</v>
      </c>
      <c r="I312" s="3" t="s">
        <v>73</v>
      </c>
      <c r="J312" s="3" t="s">
        <v>212</v>
      </c>
      <c r="L312" s="3" t="s">
        <v>1654</v>
      </c>
      <c r="M312" s="3" t="s">
        <v>371</v>
      </c>
      <c r="N312" s="3" t="s">
        <v>372</v>
      </c>
      <c r="O312" s="3" t="s">
        <v>373</v>
      </c>
      <c r="P312" s="3" t="s">
        <v>79</v>
      </c>
      <c r="Q312" s="3" t="s">
        <v>725</v>
      </c>
      <c r="S312" s="18">
        <v>3.76</v>
      </c>
      <c r="T312" s="18">
        <v>21.02</v>
      </c>
      <c r="U312" s="18">
        <v>32.08</v>
      </c>
      <c r="AC312" s="3" t="s">
        <v>81</v>
      </c>
      <c r="AD312" s="6">
        <v>18.468679999999999</v>
      </c>
      <c r="AE312" s="6">
        <v>-67.154452000000006</v>
      </c>
      <c r="AH312" s="3">
        <v>2011</v>
      </c>
      <c r="AI312" s="3">
        <v>8</v>
      </c>
      <c r="AJ312" s="8">
        <v>4</v>
      </c>
      <c r="AK312" s="3">
        <v>2011</v>
      </c>
      <c r="AL312" s="3">
        <v>8</v>
      </c>
      <c r="AM312" s="3">
        <v>4</v>
      </c>
      <c r="AN312" s="29">
        <v>0</v>
      </c>
      <c r="AY312" s="3">
        <v>76.861595377819796</v>
      </c>
      <c r="AZ312" s="3" t="s">
        <v>89</v>
      </c>
      <c r="BA312" s="3" t="s">
        <v>726</v>
      </c>
      <c r="BC312" s="3" t="s">
        <v>727</v>
      </c>
      <c r="BD312" s="8">
        <v>0</v>
      </c>
    </row>
    <row r="313" spans="1:56" ht="14.25" customHeight="1" thickBot="1">
      <c r="A313" s="3" t="s">
        <v>1655</v>
      </c>
      <c r="B313" s="3" t="s">
        <v>1491</v>
      </c>
      <c r="C313" s="3" t="s">
        <v>1656</v>
      </c>
      <c r="E313" s="3" t="s">
        <v>71</v>
      </c>
      <c r="F313" s="3">
        <f t="shared" si="2"/>
        <v>2</v>
      </c>
      <c r="G313" s="3" t="s">
        <v>72</v>
      </c>
      <c r="H313" s="3">
        <f t="shared" si="3"/>
        <v>2</v>
      </c>
      <c r="I313" s="3" t="s">
        <v>73</v>
      </c>
      <c r="J313" s="3" t="s">
        <v>74</v>
      </c>
      <c r="K313" s="3" t="s">
        <v>75</v>
      </c>
      <c r="M313" s="3" t="s">
        <v>97</v>
      </c>
      <c r="N313" s="3" t="s">
        <v>98</v>
      </c>
      <c r="O313" s="3" t="s">
        <v>78</v>
      </c>
      <c r="P313" s="3" t="s">
        <v>79</v>
      </c>
      <c r="Q313" s="3" t="s">
        <v>1657</v>
      </c>
      <c r="S313" s="18">
        <v>0</v>
      </c>
      <c r="T313" s="18">
        <v>8.61</v>
      </c>
      <c r="U313" s="18">
        <v>27.41</v>
      </c>
      <c r="Z313" s="3" t="s">
        <v>264</v>
      </c>
      <c r="AB313" s="3">
        <v>260</v>
      </c>
      <c r="AC313" s="3" t="s">
        <v>81</v>
      </c>
      <c r="AD313" s="6">
        <v>32.971530000000001</v>
      </c>
      <c r="AE313" s="6">
        <v>-89.734849999999994</v>
      </c>
      <c r="AH313" s="3">
        <v>2011</v>
      </c>
      <c r="AI313" s="3">
        <v>4</v>
      </c>
      <c r="AJ313" s="8">
        <v>14</v>
      </c>
      <c r="AK313" s="3">
        <v>2011</v>
      </c>
      <c r="AL313" s="3">
        <v>4</v>
      </c>
      <c r="AM313" s="3">
        <v>16</v>
      </c>
      <c r="AN313" s="29">
        <v>46</v>
      </c>
      <c r="AO313" s="3">
        <v>43</v>
      </c>
      <c r="AR313" s="3">
        <v>43</v>
      </c>
      <c r="AU313" s="3">
        <v>1500000</v>
      </c>
      <c r="AV313" s="3">
        <v>1951560</v>
      </c>
      <c r="AW313" s="3">
        <v>2000000</v>
      </c>
      <c r="AX313" s="3">
        <v>2602080</v>
      </c>
      <c r="AY313" s="3">
        <v>76.861595377819796</v>
      </c>
      <c r="AZ313" s="3" t="s">
        <v>89</v>
      </c>
      <c r="BA313" s="3" t="s">
        <v>1658</v>
      </c>
      <c r="BC313" s="3" t="s">
        <v>1659</v>
      </c>
      <c r="BD313" s="8">
        <v>2</v>
      </c>
    </row>
    <row r="314" spans="1:56" ht="14.25" customHeight="1" thickBot="1">
      <c r="A314" s="3" t="s">
        <v>1660</v>
      </c>
      <c r="B314" s="3" t="s">
        <v>1491</v>
      </c>
      <c r="C314" s="3" t="s">
        <v>1661</v>
      </c>
      <c r="E314" s="3" t="s">
        <v>71</v>
      </c>
      <c r="F314" s="3">
        <f t="shared" si="2"/>
        <v>2</v>
      </c>
      <c r="G314" s="3" t="s">
        <v>72</v>
      </c>
      <c r="H314" s="3">
        <f t="shared" si="3"/>
        <v>2</v>
      </c>
      <c r="I314" s="3" t="s">
        <v>73</v>
      </c>
      <c r="J314" s="3" t="s">
        <v>74</v>
      </c>
      <c r="K314" s="3" t="s">
        <v>75</v>
      </c>
      <c r="M314" s="3" t="s">
        <v>97</v>
      </c>
      <c r="N314" s="3" t="s">
        <v>98</v>
      </c>
      <c r="O314" s="3" t="s">
        <v>78</v>
      </c>
      <c r="P314" s="3" t="s">
        <v>79</v>
      </c>
      <c r="Q314" s="3" t="s">
        <v>1662</v>
      </c>
      <c r="S314" s="18">
        <v>42.58</v>
      </c>
      <c r="T314" s="18">
        <v>16.32</v>
      </c>
      <c r="U314" s="18">
        <v>22.09</v>
      </c>
      <c r="AB314" s="3">
        <v>320</v>
      </c>
      <c r="AC314" s="3" t="s">
        <v>81</v>
      </c>
      <c r="AD314" s="6">
        <v>36.911090000000002</v>
      </c>
      <c r="AE314" s="11">
        <v>-94.348746000000006</v>
      </c>
      <c r="AH314" s="3">
        <v>2011</v>
      </c>
      <c r="AI314" s="3">
        <v>5</v>
      </c>
      <c r="AJ314" s="8">
        <v>20</v>
      </c>
      <c r="AK314" s="3">
        <v>2011</v>
      </c>
      <c r="AL314" s="3">
        <v>5</v>
      </c>
      <c r="AM314" s="3">
        <v>25</v>
      </c>
      <c r="AN314" s="29">
        <v>176</v>
      </c>
      <c r="AO314" s="3">
        <v>1150</v>
      </c>
      <c r="AR314" s="3">
        <v>1150</v>
      </c>
      <c r="AU314" s="3">
        <v>6900000</v>
      </c>
      <c r="AV314" s="3">
        <v>8977175</v>
      </c>
      <c r="AW314" s="3">
        <v>14000000</v>
      </c>
      <c r="AX314" s="3">
        <v>18214558</v>
      </c>
      <c r="AY314" s="3">
        <v>76.861595377819796</v>
      </c>
      <c r="AZ314" s="3" t="s">
        <v>82</v>
      </c>
      <c r="BB314" s="3" t="s">
        <v>1663</v>
      </c>
      <c r="BC314" s="3" t="s">
        <v>1664</v>
      </c>
      <c r="BD314" s="8">
        <v>4</v>
      </c>
    </row>
    <row r="315" spans="1:56" ht="14.25" customHeight="1" thickBot="1">
      <c r="A315" s="3" t="s">
        <v>1665</v>
      </c>
      <c r="B315" s="3" t="s">
        <v>1491</v>
      </c>
      <c r="C315" s="3" t="s">
        <v>1242</v>
      </c>
      <c r="E315" s="3" t="s">
        <v>71</v>
      </c>
      <c r="F315" s="3">
        <f t="shared" si="2"/>
        <v>2</v>
      </c>
      <c r="G315" s="3" t="s">
        <v>72</v>
      </c>
      <c r="H315" s="3">
        <f t="shared" si="3"/>
        <v>2</v>
      </c>
      <c r="I315" s="3" t="s">
        <v>73</v>
      </c>
      <c r="J315" s="3" t="s">
        <v>74</v>
      </c>
      <c r="K315" s="3" t="s">
        <v>75</v>
      </c>
      <c r="M315" s="3" t="s">
        <v>97</v>
      </c>
      <c r="N315" s="3" t="s">
        <v>98</v>
      </c>
      <c r="O315" s="3" t="s">
        <v>78</v>
      </c>
      <c r="P315" s="3" t="s">
        <v>79</v>
      </c>
      <c r="Q315" s="3" t="s">
        <v>1666</v>
      </c>
      <c r="S315" s="18">
        <v>16.61</v>
      </c>
      <c r="T315" s="18">
        <v>14.02</v>
      </c>
      <c r="U315" s="18">
        <v>26.92</v>
      </c>
      <c r="AC315" s="3" t="s">
        <v>81</v>
      </c>
      <c r="AD315" s="6">
        <v>36.911090000000002</v>
      </c>
      <c r="AE315" s="11">
        <v>-94.348746000000006</v>
      </c>
      <c r="AH315" s="3">
        <v>2011</v>
      </c>
      <c r="AI315" s="3">
        <v>5</v>
      </c>
      <c r="AJ315" s="8">
        <v>24</v>
      </c>
      <c r="AK315" s="3">
        <v>2011</v>
      </c>
      <c r="AL315" s="3">
        <v>5</v>
      </c>
      <c r="AM315" s="3">
        <v>24</v>
      </c>
      <c r="AN315" s="29">
        <v>11</v>
      </c>
      <c r="AY315" s="3">
        <v>76.861595377819796</v>
      </c>
      <c r="AZ315" s="3" t="s">
        <v>89</v>
      </c>
      <c r="BA315" s="3" t="s">
        <v>1667</v>
      </c>
      <c r="BC315" s="3" t="s">
        <v>1668</v>
      </c>
      <c r="BD315" s="8">
        <v>0</v>
      </c>
    </row>
    <row r="316" spans="1:56" ht="14.25" customHeight="1" thickBot="1">
      <c r="A316" s="3" t="s">
        <v>1669</v>
      </c>
      <c r="B316" s="3" t="s">
        <v>1491</v>
      </c>
      <c r="C316" s="3" t="s">
        <v>1670</v>
      </c>
      <c r="E316" s="3" t="s">
        <v>71</v>
      </c>
      <c r="F316" s="3">
        <f t="shared" si="2"/>
        <v>1</v>
      </c>
      <c r="G316" s="3" t="s">
        <v>94</v>
      </c>
      <c r="H316" s="3">
        <f t="shared" si="3"/>
        <v>1</v>
      </c>
      <c r="I316" s="3" t="s">
        <v>95</v>
      </c>
      <c r="J316" s="3" t="s">
        <v>96</v>
      </c>
      <c r="M316" s="3" t="s">
        <v>97</v>
      </c>
      <c r="N316" s="3" t="s">
        <v>98</v>
      </c>
      <c r="O316" s="3" t="s">
        <v>78</v>
      </c>
      <c r="P316" s="3" t="s">
        <v>79</v>
      </c>
      <c r="Q316" s="3" t="s">
        <v>1671</v>
      </c>
      <c r="R316" s="3" t="s">
        <v>1672</v>
      </c>
      <c r="S316" s="18">
        <v>0</v>
      </c>
      <c r="T316" s="18">
        <v>16.21</v>
      </c>
      <c r="U316" s="18">
        <v>26.04</v>
      </c>
      <c r="AB316" s="3">
        <v>239421</v>
      </c>
      <c r="AC316" s="3" t="s">
        <v>102</v>
      </c>
      <c r="AD316" s="8">
        <v>34.1</v>
      </c>
      <c r="AE316" s="8">
        <v>-90.83</v>
      </c>
      <c r="AH316" s="3">
        <v>2011</v>
      </c>
      <c r="AI316" s="3">
        <v>5</v>
      </c>
      <c r="AJ316" s="8">
        <v>1</v>
      </c>
      <c r="AK316" s="3">
        <v>2011</v>
      </c>
      <c r="AL316" s="3">
        <v>5</v>
      </c>
      <c r="AM316" s="3">
        <v>24</v>
      </c>
      <c r="AN316" s="29">
        <v>1</v>
      </c>
      <c r="AP316" s="3">
        <v>25000</v>
      </c>
      <c r="AR316" s="3">
        <v>25000</v>
      </c>
      <c r="AY316" s="3">
        <v>76.861595377819796</v>
      </c>
      <c r="AZ316" s="3" t="s">
        <v>89</v>
      </c>
      <c r="BA316" s="3" t="s">
        <v>1673</v>
      </c>
      <c r="BC316" s="3" t="s">
        <v>1674</v>
      </c>
      <c r="BD316" s="8">
        <v>5</v>
      </c>
    </row>
    <row r="317" spans="1:56" ht="14.25" customHeight="1" thickBot="1">
      <c r="A317" s="3" t="s">
        <v>1675</v>
      </c>
      <c r="B317" s="3" t="s">
        <v>1491</v>
      </c>
      <c r="C317" s="3" t="s">
        <v>1229</v>
      </c>
      <c r="E317" s="3" t="s">
        <v>71</v>
      </c>
      <c r="F317" s="3">
        <f t="shared" si="2"/>
        <v>2</v>
      </c>
      <c r="G317" s="3" t="s">
        <v>72</v>
      </c>
      <c r="H317" s="3">
        <f t="shared" si="3"/>
        <v>4</v>
      </c>
      <c r="I317" s="3" t="s">
        <v>219</v>
      </c>
      <c r="J317" s="3" t="s">
        <v>220</v>
      </c>
      <c r="M317" s="3" t="s">
        <v>97</v>
      </c>
      <c r="N317" s="3" t="s">
        <v>98</v>
      </c>
      <c r="O317" s="3" t="s">
        <v>78</v>
      </c>
      <c r="P317" s="3" t="s">
        <v>79</v>
      </c>
      <c r="Q317" s="3" t="s">
        <v>1676</v>
      </c>
      <c r="S317" s="18">
        <v>0</v>
      </c>
      <c r="T317" s="18">
        <v>23.76</v>
      </c>
      <c r="U317" s="18">
        <v>33.93</v>
      </c>
      <c r="AB317" s="3">
        <v>50</v>
      </c>
      <c r="AC317" s="3" t="s">
        <v>222</v>
      </c>
      <c r="AD317" s="6">
        <v>40.677942000000002</v>
      </c>
      <c r="AE317" s="22">
        <v>-73.950486999999995</v>
      </c>
      <c r="AH317" s="3">
        <v>2011</v>
      </c>
      <c r="AI317" s="3">
        <v>7</v>
      </c>
      <c r="AJ317" s="8">
        <v>19</v>
      </c>
      <c r="AK317" s="3">
        <v>2011</v>
      </c>
      <c r="AL317" s="3">
        <v>7</v>
      </c>
      <c r="AM317" s="3">
        <v>22</v>
      </c>
      <c r="AN317" s="29">
        <v>22</v>
      </c>
      <c r="AY317" s="3">
        <v>76.861595377819796</v>
      </c>
      <c r="AZ317" s="3" t="s">
        <v>89</v>
      </c>
      <c r="BA317" s="3" t="s">
        <v>1677</v>
      </c>
      <c r="BC317" s="3" t="s">
        <v>1678</v>
      </c>
      <c r="BD317" s="8">
        <v>0</v>
      </c>
    </row>
    <row r="318" spans="1:56" ht="14.25" customHeight="1" thickBot="1">
      <c r="A318" s="3" t="s">
        <v>1679</v>
      </c>
      <c r="B318" s="3" t="s">
        <v>1491</v>
      </c>
      <c r="C318" s="3" t="s">
        <v>1557</v>
      </c>
      <c r="E318" s="3" t="s">
        <v>71</v>
      </c>
      <c r="F318" s="3">
        <f t="shared" si="2"/>
        <v>3</v>
      </c>
      <c r="G318" s="3" t="s">
        <v>119</v>
      </c>
      <c r="H318" s="3">
        <f t="shared" si="3"/>
        <v>3</v>
      </c>
      <c r="I318" s="3" t="s">
        <v>122</v>
      </c>
      <c r="J318" s="3" t="s">
        <v>227</v>
      </c>
      <c r="M318" s="3" t="s">
        <v>97</v>
      </c>
      <c r="N318" s="3" t="s">
        <v>98</v>
      </c>
      <c r="O318" s="3" t="s">
        <v>78</v>
      </c>
      <c r="P318" s="3" t="s">
        <v>79</v>
      </c>
      <c r="Q318" s="3" t="s">
        <v>1680</v>
      </c>
      <c r="R318" s="3" t="s">
        <v>1681</v>
      </c>
      <c r="S318" s="18">
        <v>0</v>
      </c>
      <c r="T318" s="18">
        <v>20.91</v>
      </c>
      <c r="U318" s="18">
        <v>37.89</v>
      </c>
      <c r="AC318" s="3" t="s">
        <v>102</v>
      </c>
      <c r="AD318" s="6">
        <v>29.615770000000001</v>
      </c>
      <c r="AE318" s="6">
        <v>-98.523132000000004</v>
      </c>
      <c r="AH318" s="3">
        <v>2011</v>
      </c>
      <c r="AI318" s="3">
        <v>9</v>
      </c>
      <c r="AJ318" s="8">
        <v>4</v>
      </c>
      <c r="AK318" s="3">
        <v>2011</v>
      </c>
      <c r="AL318" s="3">
        <v>9</v>
      </c>
      <c r="AM318" s="3">
        <v>9</v>
      </c>
      <c r="AN318" s="29">
        <v>4</v>
      </c>
      <c r="AQ318" s="3">
        <v>4800</v>
      </c>
      <c r="AR318" s="3">
        <v>4800</v>
      </c>
      <c r="AU318" s="3">
        <v>450000</v>
      </c>
      <c r="AV318" s="3">
        <v>585468</v>
      </c>
      <c r="AW318" s="3">
        <v>1000000</v>
      </c>
      <c r="AX318" s="3">
        <v>1301040</v>
      </c>
      <c r="AY318" s="3">
        <v>76.861595377819796</v>
      </c>
      <c r="AZ318" s="3" t="s">
        <v>82</v>
      </c>
      <c r="BB318" s="3" t="s">
        <v>1682</v>
      </c>
      <c r="BC318" s="3" t="s">
        <v>1683</v>
      </c>
      <c r="BD318" s="8">
        <v>4</v>
      </c>
    </row>
    <row r="319" spans="1:56" ht="14.25" customHeight="1" thickBot="1">
      <c r="A319" s="3" t="s">
        <v>1684</v>
      </c>
      <c r="B319" s="3" t="s">
        <v>1491</v>
      </c>
      <c r="C319" s="3" t="s">
        <v>1447</v>
      </c>
      <c r="E319" s="3" t="s">
        <v>71</v>
      </c>
      <c r="F319" s="3">
        <f t="shared" si="2"/>
        <v>3</v>
      </c>
      <c r="G319" s="3" t="s">
        <v>119</v>
      </c>
      <c r="H319" s="3">
        <f t="shared" si="3"/>
        <v>3</v>
      </c>
      <c r="I319" s="3" t="s">
        <v>122</v>
      </c>
      <c r="J319" s="3" t="s">
        <v>600</v>
      </c>
      <c r="M319" s="3" t="s">
        <v>97</v>
      </c>
      <c r="N319" s="3" t="s">
        <v>98</v>
      </c>
      <c r="O319" s="3" t="s">
        <v>78</v>
      </c>
      <c r="P319" s="3" t="s">
        <v>79</v>
      </c>
      <c r="Q319" s="3" t="s">
        <v>444</v>
      </c>
      <c r="S319" s="18">
        <v>0</v>
      </c>
      <c r="T319" s="18">
        <v>18.62</v>
      </c>
      <c r="U319" s="18">
        <v>33.33</v>
      </c>
      <c r="AC319" s="3" t="s">
        <v>102</v>
      </c>
      <c r="AD319" s="6">
        <v>29.615770000000001</v>
      </c>
      <c r="AE319" s="6">
        <v>-98.523132000000004</v>
      </c>
      <c r="AH319" s="3">
        <v>2011</v>
      </c>
      <c r="AI319" s="3">
        <v>4</v>
      </c>
      <c r="AJ319" s="8">
        <v>9</v>
      </c>
      <c r="AK319" s="3">
        <v>2011</v>
      </c>
      <c r="AL319" s="3">
        <v>4</v>
      </c>
      <c r="AM319" s="3">
        <v>30</v>
      </c>
      <c r="AN319" s="29">
        <v>2</v>
      </c>
      <c r="AO319" s="3">
        <v>5</v>
      </c>
      <c r="AQ319" s="3">
        <v>1300</v>
      </c>
      <c r="AR319" s="3">
        <v>1305</v>
      </c>
      <c r="AW319" s="3">
        <v>183000</v>
      </c>
      <c r="AX319" s="3">
        <v>238090</v>
      </c>
      <c r="AY319" s="3">
        <v>76.861595377819796</v>
      </c>
      <c r="AZ319" s="3" t="s">
        <v>89</v>
      </c>
      <c r="BA319" s="3" t="s">
        <v>446</v>
      </c>
      <c r="BC319" s="3" t="s">
        <v>447</v>
      </c>
      <c r="BD319" s="8">
        <v>4</v>
      </c>
    </row>
    <row r="320" spans="1:56" ht="14.25" customHeight="1" thickBot="1">
      <c r="A320" s="3" t="s">
        <v>1685</v>
      </c>
      <c r="B320" s="3" t="s">
        <v>1491</v>
      </c>
      <c r="C320" s="3" t="s">
        <v>1686</v>
      </c>
      <c r="E320" s="3" t="s">
        <v>71</v>
      </c>
      <c r="F320" s="3">
        <f t="shared" si="2"/>
        <v>3</v>
      </c>
      <c r="G320" s="3" t="s">
        <v>119</v>
      </c>
      <c r="H320" s="3">
        <f t="shared" si="3"/>
        <v>3</v>
      </c>
      <c r="I320" s="3" t="s">
        <v>122</v>
      </c>
      <c r="J320" s="3" t="s">
        <v>227</v>
      </c>
      <c r="M320" s="3" t="s">
        <v>76</v>
      </c>
      <c r="N320" s="3" t="s">
        <v>77</v>
      </c>
      <c r="O320" s="3" t="s">
        <v>78</v>
      </c>
      <c r="P320" s="3" t="s">
        <v>79</v>
      </c>
      <c r="Q320" s="3" t="s">
        <v>1687</v>
      </c>
      <c r="R320" s="3" t="s">
        <v>1688</v>
      </c>
      <c r="S320" s="18">
        <v>0</v>
      </c>
      <c r="T320" s="18">
        <v>9.19</v>
      </c>
      <c r="U320" s="18">
        <v>22.19</v>
      </c>
      <c r="AC320" s="3" t="s">
        <v>102</v>
      </c>
      <c r="AD320" s="10">
        <v>55.294730000000001</v>
      </c>
      <c r="AE320" s="11">
        <v>-114.79081100000001</v>
      </c>
      <c r="AH320" s="3">
        <v>2011</v>
      </c>
      <c r="AI320" s="3">
        <v>5</v>
      </c>
      <c r="AJ320" s="8">
        <v>14</v>
      </c>
      <c r="AK320" s="3">
        <v>2011</v>
      </c>
      <c r="AL320" s="3">
        <v>5</v>
      </c>
      <c r="AM320" s="3">
        <v>16</v>
      </c>
      <c r="AN320" s="29">
        <v>1</v>
      </c>
      <c r="AQ320" s="3">
        <v>7000</v>
      </c>
      <c r="AR320" s="3">
        <v>7000</v>
      </c>
      <c r="AU320" s="3">
        <v>720000</v>
      </c>
      <c r="AV320" s="3">
        <v>936749</v>
      </c>
      <c r="AW320" s="3">
        <v>1500000</v>
      </c>
      <c r="AX320" s="3">
        <v>1951560</v>
      </c>
      <c r="AY320" s="3">
        <v>76.861595377819796</v>
      </c>
      <c r="AZ320" s="3" t="s">
        <v>82</v>
      </c>
      <c r="BB320" s="3" t="s">
        <v>1689</v>
      </c>
      <c r="BC320" s="3" t="s">
        <v>1690</v>
      </c>
      <c r="BD320" s="8">
        <v>4</v>
      </c>
    </row>
    <row r="321" spans="1:56" ht="14.25" customHeight="1" thickBot="1">
      <c r="A321" s="3" t="s">
        <v>1691</v>
      </c>
      <c r="B321" s="3" t="s">
        <v>1692</v>
      </c>
      <c r="C321" s="3" t="s">
        <v>1693</v>
      </c>
      <c r="E321" s="3" t="s">
        <v>71</v>
      </c>
      <c r="F321" s="3">
        <f t="shared" si="2"/>
        <v>2</v>
      </c>
      <c r="G321" s="3" t="s">
        <v>72</v>
      </c>
      <c r="H321" s="3">
        <f t="shared" si="3"/>
        <v>2</v>
      </c>
      <c r="I321" s="3" t="s">
        <v>73</v>
      </c>
      <c r="J321" s="3" t="s">
        <v>74</v>
      </c>
      <c r="K321" s="3" t="s">
        <v>127</v>
      </c>
      <c r="M321" s="3" t="s">
        <v>76</v>
      </c>
      <c r="N321" s="3" t="s">
        <v>77</v>
      </c>
      <c r="O321" s="3" t="s">
        <v>78</v>
      </c>
      <c r="P321" s="3" t="s">
        <v>79</v>
      </c>
      <c r="Q321" s="3" t="s">
        <v>1694</v>
      </c>
      <c r="S321" s="18">
        <v>0</v>
      </c>
      <c r="T321" s="18">
        <v>-27.99</v>
      </c>
      <c r="U321" s="18">
        <v>-15.34</v>
      </c>
      <c r="AC321" s="3" t="s">
        <v>81</v>
      </c>
      <c r="AD321" s="6">
        <v>52.476089999999999</v>
      </c>
      <c r="AE321" s="6">
        <v>-71.825867000000002</v>
      </c>
      <c r="AH321" s="3">
        <v>2012</v>
      </c>
      <c r="AI321" s="3">
        <v>12</v>
      </c>
      <c r="AJ321" s="8">
        <v>24</v>
      </c>
      <c r="AK321" s="3">
        <v>2012</v>
      </c>
      <c r="AL321" s="3">
        <v>12</v>
      </c>
      <c r="AM321" s="3">
        <v>27</v>
      </c>
      <c r="AN321" s="29">
        <v>0</v>
      </c>
      <c r="AY321" s="3">
        <v>78.452113882900306</v>
      </c>
      <c r="AZ321" s="3" t="s">
        <v>89</v>
      </c>
      <c r="BA321" s="3" t="s">
        <v>1695</v>
      </c>
      <c r="BC321" s="3" t="s">
        <v>1696</v>
      </c>
      <c r="BD321" s="8">
        <v>0</v>
      </c>
    </row>
    <row r="322" spans="1:56" ht="14.25" customHeight="1" thickBot="1">
      <c r="A322" s="3" t="s">
        <v>1697</v>
      </c>
      <c r="B322" s="3" t="s">
        <v>1692</v>
      </c>
      <c r="C322" s="3" t="s">
        <v>1698</v>
      </c>
      <c r="E322" s="3" t="s">
        <v>71</v>
      </c>
      <c r="F322" s="3">
        <f t="shared" si="2"/>
        <v>2</v>
      </c>
      <c r="G322" s="3" t="s">
        <v>72</v>
      </c>
      <c r="H322" s="3">
        <f t="shared" si="3"/>
        <v>2</v>
      </c>
      <c r="I322" s="3" t="s">
        <v>73</v>
      </c>
      <c r="J322" s="3" t="s">
        <v>74</v>
      </c>
      <c r="K322" s="3" t="s">
        <v>169</v>
      </c>
      <c r="M322" s="3" t="s">
        <v>76</v>
      </c>
      <c r="N322" s="3" t="s">
        <v>77</v>
      </c>
      <c r="O322" s="3" t="s">
        <v>78</v>
      </c>
      <c r="P322" s="3" t="s">
        <v>79</v>
      </c>
      <c r="Q322" s="3" t="s">
        <v>1699</v>
      </c>
      <c r="S322" s="18">
        <v>4.08</v>
      </c>
      <c r="T322" s="18">
        <v>11.01</v>
      </c>
      <c r="U322" s="18">
        <v>24.35</v>
      </c>
      <c r="AC322" s="3" t="s">
        <v>81</v>
      </c>
      <c r="AD322" s="10">
        <v>51.040790000000001</v>
      </c>
      <c r="AE322" s="11">
        <v>-114.072131</v>
      </c>
      <c r="AH322" s="3">
        <v>2012</v>
      </c>
      <c r="AI322" s="3">
        <v>8</v>
      </c>
      <c r="AJ322" s="8">
        <v>12</v>
      </c>
      <c r="AK322" s="3">
        <v>2012</v>
      </c>
      <c r="AL322" s="3">
        <v>8</v>
      </c>
      <c r="AM322" s="3">
        <v>12</v>
      </c>
      <c r="AN322" s="29">
        <v>0</v>
      </c>
      <c r="AU322" s="3">
        <v>530</v>
      </c>
      <c r="AV322" s="3">
        <v>676</v>
      </c>
      <c r="AW322" s="3">
        <v>1050000</v>
      </c>
      <c r="AX322" s="3">
        <v>1338396</v>
      </c>
      <c r="AY322" s="3">
        <v>78.452113882900306</v>
      </c>
      <c r="AZ322" s="3" t="s">
        <v>82</v>
      </c>
      <c r="BB322" s="3" t="s">
        <v>1700</v>
      </c>
      <c r="BC322" s="3" t="s">
        <v>339</v>
      </c>
      <c r="BD322" s="8">
        <v>0</v>
      </c>
    </row>
    <row r="323" spans="1:56" ht="14.25" customHeight="1" thickBot="1">
      <c r="A323" s="3" t="s">
        <v>1701</v>
      </c>
      <c r="B323" s="3" t="s">
        <v>1692</v>
      </c>
      <c r="C323" s="3" t="s">
        <v>1702</v>
      </c>
      <c r="E323" s="3" t="s">
        <v>71</v>
      </c>
      <c r="F323" s="3">
        <f t="shared" si="2"/>
        <v>1</v>
      </c>
      <c r="G323" s="3" t="s">
        <v>94</v>
      </c>
      <c r="H323" s="3">
        <f t="shared" si="3"/>
        <v>1</v>
      </c>
      <c r="I323" s="3" t="s">
        <v>95</v>
      </c>
      <c r="J323" s="3" t="s">
        <v>96</v>
      </c>
      <c r="M323" s="3" t="s">
        <v>76</v>
      </c>
      <c r="N323" s="3" t="s">
        <v>77</v>
      </c>
      <c r="O323" s="3" t="s">
        <v>78</v>
      </c>
      <c r="P323" s="3" t="s">
        <v>79</v>
      </c>
      <c r="Q323" s="3" t="s">
        <v>1703</v>
      </c>
      <c r="R323" s="3" t="s">
        <v>1704</v>
      </c>
      <c r="S323" s="18">
        <v>3.21</v>
      </c>
      <c r="T323" s="18">
        <v>-5.6</v>
      </c>
      <c r="U323" s="18">
        <v>1.1299999999999999</v>
      </c>
      <c r="AB323" s="3">
        <v>544053</v>
      </c>
      <c r="AC323" s="3" t="s">
        <v>102</v>
      </c>
      <c r="AD323" s="8">
        <v>46.599400000000003</v>
      </c>
      <c r="AE323" s="8">
        <v>-67.5</v>
      </c>
      <c r="AH323" s="3">
        <v>2012</v>
      </c>
      <c r="AI323" s="3">
        <v>3</v>
      </c>
      <c r="AJ323" s="8">
        <v>25</v>
      </c>
      <c r="AK323" s="3">
        <v>2012</v>
      </c>
      <c r="AL323" s="3">
        <v>3</v>
      </c>
      <c r="AM323" s="3">
        <v>30</v>
      </c>
      <c r="AN323" s="29">
        <v>0</v>
      </c>
      <c r="AP323" s="3">
        <v>1500</v>
      </c>
      <c r="AR323" s="3">
        <v>1500</v>
      </c>
      <c r="AW323" s="3">
        <v>34000</v>
      </c>
      <c r="AX323" s="3">
        <v>43339</v>
      </c>
      <c r="AY323" s="3">
        <v>78.452113882900306</v>
      </c>
      <c r="AZ323" s="3" t="s">
        <v>82</v>
      </c>
      <c r="BB323" s="3" t="s">
        <v>1705</v>
      </c>
      <c r="BC323" s="3" t="s">
        <v>1706</v>
      </c>
      <c r="BD323" s="8">
        <v>4</v>
      </c>
    </row>
    <row r="324" spans="1:56" ht="14.25" customHeight="1" thickBot="1">
      <c r="A324" s="3" t="s">
        <v>1707</v>
      </c>
      <c r="B324" s="3" t="s">
        <v>1708</v>
      </c>
      <c r="C324" s="3" t="s">
        <v>1709</v>
      </c>
      <c r="E324" s="3" t="s">
        <v>71</v>
      </c>
      <c r="F324" s="3">
        <f t="shared" si="2"/>
        <v>2</v>
      </c>
      <c r="G324" s="3" t="s">
        <v>72</v>
      </c>
      <c r="H324" s="3">
        <f t="shared" si="3"/>
        <v>2</v>
      </c>
      <c r="I324" s="3" t="s">
        <v>73</v>
      </c>
      <c r="J324" s="3" t="s">
        <v>74</v>
      </c>
      <c r="K324" s="3" t="s">
        <v>807</v>
      </c>
      <c r="M324" s="3" t="s">
        <v>76</v>
      </c>
      <c r="N324" s="3" t="s">
        <v>77</v>
      </c>
      <c r="O324" s="3" t="s">
        <v>78</v>
      </c>
      <c r="P324" s="3" t="s">
        <v>79</v>
      </c>
      <c r="Q324" s="3" t="s">
        <v>1710</v>
      </c>
      <c r="S324" s="18">
        <v>61.07</v>
      </c>
      <c r="T324" s="18">
        <v>20.53</v>
      </c>
      <c r="U324" s="18">
        <v>29.35</v>
      </c>
      <c r="V324" s="3" t="s">
        <v>95</v>
      </c>
      <c r="AC324" s="3" t="s">
        <v>81</v>
      </c>
      <c r="AD324" s="6">
        <v>43.645290000000003</v>
      </c>
      <c r="AE324" s="6">
        <v>-79.412801000000002</v>
      </c>
      <c r="AH324" s="3">
        <v>2013</v>
      </c>
      <c r="AI324" s="3">
        <v>7</v>
      </c>
      <c r="AJ324" s="8">
        <v>8</v>
      </c>
      <c r="AK324" s="3">
        <v>2013</v>
      </c>
      <c r="AL324" s="3">
        <v>7</v>
      </c>
      <c r="AM324" s="3">
        <v>9</v>
      </c>
      <c r="AN324" s="29">
        <v>0</v>
      </c>
      <c r="AU324" s="3">
        <v>888000</v>
      </c>
      <c r="AV324" s="3">
        <v>1115560</v>
      </c>
      <c r="AW324" s="3">
        <v>1410000</v>
      </c>
      <c r="AX324" s="3">
        <v>1771328</v>
      </c>
      <c r="AY324" s="3">
        <v>79.6013094233451</v>
      </c>
      <c r="AZ324" s="3" t="s">
        <v>82</v>
      </c>
      <c r="BB324" s="3" t="s">
        <v>1711</v>
      </c>
      <c r="BC324" s="3" t="s">
        <v>1712</v>
      </c>
      <c r="BD324" s="8">
        <v>0</v>
      </c>
    </row>
    <row r="325" spans="1:56" ht="14.25" customHeight="1" thickBot="1">
      <c r="A325" s="3" t="s">
        <v>1713</v>
      </c>
      <c r="B325" s="3" t="s">
        <v>1708</v>
      </c>
      <c r="C325" s="3" t="s">
        <v>1714</v>
      </c>
      <c r="E325" s="3" t="s">
        <v>71</v>
      </c>
      <c r="F325" s="3">
        <f t="shared" si="2"/>
        <v>2</v>
      </c>
      <c r="G325" s="3" t="s">
        <v>72</v>
      </c>
      <c r="H325" s="3">
        <f t="shared" si="3"/>
        <v>4</v>
      </c>
      <c r="I325" s="3" t="s">
        <v>219</v>
      </c>
      <c r="J325" s="3" t="s">
        <v>1406</v>
      </c>
      <c r="K325" s="3" t="s">
        <v>1407</v>
      </c>
      <c r="M325" s="3" t="s">
        <v>76</v>
      </c>
      <c r="N325" s="3" t="s">
        <v>77</v>
      </c>
      <c r="O325" s="3" t="s">
        <v>78</v>
      </c>
      <c r="P325" s="3" t="s">
        <v>79</v>
      </c>
      <c r="Q325" s="3" t="s">
        <v>990</v>
      </c>
      <c r="S325" s="18">
        <v>20.71</v>
      </c>
      <c r="T325" s="18">
        <v>-0.49</v>
      </c>
      <c r="U325" s="18">
        <v>1.17</v>
      </c>
      <c r="AC325" s="3" t="s">
        <v>222</v>
      </c>
      <c r="AD325" s="6">
        <v>43.645290000000003</v>
      </c>
      <c r="AE325" s="6">
        <v>-79.412801000000002</v>
      </c>
      <c r="AH325" s="3">
        <v>2013</v>
      </c>
      <c r="AI325" s="3">
        <v>12</v>
      </c>
      <c r="AJ325" s="8">
        <v>21</v>
      </c>
      <c r="AK325" s="3">
        <v>2013</v>
      </c>
      <c r="AL325" s="3">
        <v>12</v>
      </c>
      <c r="AM325" s="3">
        <v>22</v>
      </c>
      <c r="AN325" s="29">
        <v>10</v>
      </c>
      <c r="AW325" s="3">
        <v>200000</v>
      </c>
      <c r="AX325" s="3">
        <v>251252</v>
      </c>
      <c r="AY325" s="3">
        <v>79.6013094233451</v>
      </c>
      <c r="AZ325" s="3" t="s">
        <v>89</v>
      </c>
      <c r="BA325" s="3" t="s">
        <v>991</v>
      </c>
      <c r="BC325" s="3" t="s">
        <v>992</v>
      </c>
      <c r="BD325" s="8">
        <v>0</v>
      </c>
    </row>
    <row r="326" spans="1:56" ht="14.25" customHeight="1" thickBot="1">
      <c r="A326" s="3" t="s">
        <v>1715</v>
      </c>
      <c r="B326" s="3" t="s">
        <v>1708</v>
      </c>
      <c r="C326" s="3" t="s">
        <v>1463</v>
      </c>
      <c r="E326" s="3" t="s">
        <v>71</v>
      </c>
      <c r="F326" s="3">
        <f t="shared" si="2"/>
        <v>1</v>
      </c>
      <c r="G326" s="3" t="s">
        <v>94</v>
      </c>
      <c r="H326" s="3">
        <f t="shared" si="3"/>
        <v>1</v>
      </c>
      <c r="I326" s="3" t="s">
        <v>95</v>
      </c>
      <c r="J326" s="3" t="s">
        <v>96</v>
      </c>
      <c r="M326" s="3" t="s">
        <v>76</v>
      </c>
      <c r="N326" s="3" t="s">
        <v>77</v>
      </c>
      <c r="O326" s="3" t="s">
        <v>78</v>
      </c>
      <c r="P326" s="3" t="s">
        <v>79</v>
      </c>
      <c r="Q326" s="3" t="s">
        <v>1716</v>
      </c>
      <c r="S326" s="18">
        <v>14.07</v>
      </c>
      <c r="T326" s="18">
        <v>12.35</v>
      </c>
      <c r="U326" s="18">
        <v>19.38</v>
      </c>
      <c r="Z326" s="3" t="s">
        <v>264</v>
      </c>
      <c r="AB326" s="3">
        <v>307926</v>
      </c>
      <c r="AC326" s="3" t="s">
        <v>102</v>
      </c>
      <c r="AD326" s="8">
        <v>51.24</v>
      </c>
      <c r="AE326" s="8">
        <v>-109.64</v>
      </c>
      <c r="AG326" s="3" t="s">
        <v>1717</v>
      </c>
      <c r="AH326" s="3">
        <v>2013</v>
      </c>
      <c r="AI326" s="3">
        <v>6</v>
      </c>
      <c r="AJ326" s="8">
        <v>20</v>
      </c>
      <c r="AK326" s="3">
        <v>2013</v>
      </c>
      <c r="AL326" s="3">
        <v>6</v>
      </c>
      <c r="AM326" s="3">
        <v>27</v>
      </c>
      <c r="AN326" s="29">
        <v>4</v>
      </c>
      <c r="AP326" s="3">
        <v>100000</v>
      </c>
      <c r="AR326" s="3">
        <v>100000</v>
      </c>
      <c r="AU326" s="3">
        <v>1650000</v>
      </c>
      <c r="AV326" s="3">
        <v>2072830</v>
      </c>
      <c r="AW326" s="3">
        <v>5700000</v>
      </c>
      <c r="AX326" s="3">
        <v>7160686</v>
      </c>
      <c r="AY326" s="3">
        <v>79.6013094233451</v>
      </c>
      <c r="AZ326" s="3" t="s">
        <v>82</v>
      </c>
      <c r="BB326" s="3" t="s">
        <v>1700</v>
      </c>
      <c r="BC326" s="3" t="s">
        <v>339</v>
      </c>
      <c r="BD326" s="8">
        <v>6</v>
      </c>
    </row>
    <row r="327" spans="1:56" ht="14.25" customHeight="1" thickBot="1">
      <c r="A327" s="3" t="s">
        <v>1718</v>
      </c>
      <c r="B327" s="3" t="s">
        <v>1719</v>
      </c>
      <c r="C327" s="3" t="s">
        <v>1720</v>
      </c>
      <c r="E327" s="3" t="s">
        <v>71</v>
      </c>
      <c r="F327" s="3">
        <f t="shared" si="2"/>
        <v>2</v>
      </c>
      <c r="G327" s="3" t="s">
        <v>72</v>
      </c>
      <c r="H327" s="3">
        <f t="shared" si="3"/>
        <v>4</v>
      </c>
      <c r="I327" s="3" t="s">
        <v>219</v>
      </c>
      <c r="J327" s="3" t="s">
        <v>114</v>
      </c>
      <c r="M327" s="3" t="s">
        <v>76</v>
      </c>
      <c r="N327" s="3" t="s">
        <v>77</v>
      </c>
      <c r="O327" s="3" t="s">
        <v>78</v>
      </c>
      <c r="P327" s="3" t="s">
        <v>79</v>
      </c>
      <c r="Q327" s="3" t="s">
        <v>1721</v>
      </c>
      <c r="S327" s="18">
        <v>0</v>
      </c>
      <c r="T327" s="18">
        <v>-13.68</v>
      </c>
      <c r="U327" s="18">
        <v>-8.49</v>
      </c>
      <c r="AB327" s="3">
        <v>-48</v>
      </c>
      <c r="AC327" s="3" t="s">
        <v>222</v>
      </c>
      <c r="AD327" s="6">
        <v>43.645290000000003</v>
      </c>
      <c r="AE327" s="6">
        <v>-79.412801000000002</v>
      </c>
      <c r="AH327" s="3">
        <v>2014</v>
      </c>
      <c r="AI327" s="3">
        <v>1</v>
      </c>
      <c r="AJ327" s="8">
        <v>1</v>
      </c>
      <c r="AK327" s="3">
        <v>2014</v>
      </c>
      <c r="AL327" s="3">
        <v>1</v>
      </c>
      <c r="AM327" s="3">
        <v>9</v>
      </c>
      <c r="AN327" s="29">
        <v>0</v>
      </c>
      <c r="AY327" s="3">
        <v>80.8926237222027</v>
      </c>
      <c r="AZ327" s="3" t="s">
        <v>89</v>
      </c>
      <c r="BA327" s="3" t="s">
        <v>1722</v>
      </c>
      <c r="BC327" s="3" t="s">
        <v>1723</v>
      </c>
      <c r="BD327" s="8">
        <v>0</v>
      </c>
    </row>
    <row r="328" spans="1:56" ht="14.25" customHeight="1" thickBot="1">
      <c r="A328" s="3" t="s">
        <v>1724</v>
      </c>
      <c r="B328" s="3" t="s">
        <v>1692</v>
      </c>
      <c r="C328" s="3" t="s">
        <v>1725</v>
      </c>
      <c r="E328" s="3" t="s">
        <v>71</v>
      </c>
      <c r="F328" s="3">
        <f t="shared" si="2"/>
        <v>2</v>
      </c>
      <c r="G328" s="3" t="s">
        <v>72</v>
      </c>
      <c r="H328" s="3">
        <f t="shared" si="3"/>
        <v>2</v>
      </c>
      <c r="I328" s="3" t="s">
        <v>73</v>
      </c>
      <c r="J328" s="3" t="s">
        <v>74</v>
      </c>
      <c r="K328" s="3" t="s">
        <v>75</v>
      </c>
      <c r="M328" s="3" t="s">
        <v>97</v>
      </c>
      <c r="N328" s="3" t="s">
        <v>98</v>
      </c>
      <c r="O328" s="3" t="s">
        <v>78</v>
      </c>
      <c r="P328" s="3" t="s">
        <v>79</v>
      </c>
      <c r="Q328" s="3" t="s">
        <v>1726</v>
      </c>
      <c r="S328" s="18">
        <v>52.37</v>
      </c>
      <c r="T328" s="18">
        <v>16.89</v>
      </c>
      <c r="U328" s="18">
        <v>26.74</v>
      </c>
      <c r="V328" s="3" t="s">
        <v>95</v>
      </c>
      <c r="W328" s="3" t="s">
        <v>355</v>
      </c>
      <c r="Z328" s="3" t="s">
        <v>264</v>
      </c>
      <c r="AB328" s="3">
        <v>112</v>
      </c>
      <c r="AC328" s="3" t="s">
        <v>81</v>
      </c>
      <c r="AD328" s="6">
        <v>33.258879999999998</v>
      </c>
      <c r="AE328" s="6">
        <v>-86.829533999999995</v>
      </c>
      <c r="AH328" s="3">
        <v>2012</v>
      </c>
      <c r="AI328" s="3">
        <v>3</v>
      </c>
      <c r="AJ328" s="8">
        <v>2</v>
      </c>
      <c r="AK328" s="3">
        <v>2012</v>
      </c>
      <c r="AL328" s="3">
        <v>3</v>
      </c>
      <c r="AM328" s="3">
        <v>4</v>
      </c>
      <c r="AN328" s="29">
        <v>41</v>
      </c>
      <c r="AU328" s="3">
        <v>2500000</v>
      </c>
      <c r="AV328" s="3">
        <v>3186657</v>
      </c>
      <c r="AW328" s="3">
        <v>5000000</v>
      </c>
      <c r="AX328" s="3">
        <v>6373315</v>
      </c>
      <c r="AY328" s="3">
        <v>78.452113882900306</v>
      </c>
      <c r="AZ328" s="3" t="s">
        <v>89</v>
      </c>
      <c r="BA328" s="3" t="s">
        <v>1727</v>
      </c>
      <c r="BC328" s="3" t="s">
        <v>1728</v>
      </c>
      <c r="BD328" s="8">
        <v>0</v>
      </c>
    </row>
    <row r="329" spans="1:56" ht="14.25" customHeight="1" thickBot="1">
      <c r="A329" s="3" t="s">
        <v>1729</v>
      </c>
      <c r="B329" s="3" t="s">
        <v>1692</v>
      </c>
      <c r="C329" s="3" t="s">
        <v>1730</v>
      </c>
      <c r="E329" s="3" t="s">
        <v>71</v>
      </c>
      <c r="F329" s="3">
        <f t="shared" si="2"/>
        <v>2</v>
      </c>
      <c r="G329" s="3" t="s">
        <v>72</v>
      </c>
      <c r="H329" s="3">
        <f t="shared" si="3"/>
        <v>2</v>
      </c>
      <c r="I329" s="3" t="s">
        <v>73</v>
      </c>
      <c r="J329" s="3" t="s">
        <v>212</v>
      </c>
      <c r="L329" s="3" t="s">
        <v>1731</v>
      </c>
      <c r="M329" s="3" t="s">
        <v>371</v>
      </c>
      <c r="N329" s="3" t="s">
        <v>372</v>
      </c>
      <c r="O329" s="3" t="s">
        <v>373</v>
      </c>
      <c r="P329" s="3" t="s">
        <v>79</v>
      </c>
      <c r="Q329" s="3" t="s">
        <v>725</v>
      </c>
      <c r="S329" s="18">
        <v>0</v>
      </c>
      <c r="T329" s="18">
        <v>21.3</v>
      </c>
      <c r="U329" s="18">
        <v>32.590000000000003</v>
      </c>
      <c r="AC329" s="3" t="s">
        <v>81</v>
      </c>
      <c r="AD329" s="6">
        <v>18.468679999999999</v>
      </c>
      <c r="AE329" s="6">
        <v>-67.154452000000006</v>
      </c>
      <c r="AH329" s="3">
        <v>2012</v>
      </c>
      <c r="AI329" s="3">
        <v>8</v>
      </c>
      <c r="AJ329" s="8">
        <v>25</v>
      </c>
      <c r="AK329" s="3">
        <v>2012</v>
      </c>
      <c r="AL329" s="3">
        <v>8</v>
      </c>
      <c r="AM329" s="3">
        <v>25</v>
      </c>
      <c r="AN329" s="29">
        <v>0</v>
      </c>
      <c r="AY329" s="3">
        <v>78.452113882900306</v>
      </c>
      <c r="AZ329" s="3" t="s">
        <v>89</v>
      </c>
      <c r="BA329" s="3" t="s">
        <v>726</v>
      </c>
      <c r="BC329" s="3" t="s">
        <v>727</v>
      </c>
      <c r="BD329" s="8">
        <v>0</v>
      </c>
    </row>
    <row r="330" spans="1:56" ht="14.25" customHeight="1" thickBot="1">
      <c r="A330" s="3" t="s">
        <v>1732</v>
      </c>
      <c r="B330" s="3" t="s">
        <v>1692</v>
      </c>
      <c r="C330" s="3" t="s">
        <v>1733</v>
      </c>
      <c r="E330" s="3" t="s">
        <v>71</v>
      </c>
      <c r="F330" s="3">
        <f t="shared" si="2"/>
        <v>2</v>
      </c>
      <c r="G330" s="3" t="s">
        <v>72</v>
      </c>
      <c r="H330" s="3">
        <f t="shared" si="3"/>
        <v>2</v>
      </c>
      <c r="I330" s="3" t="s">
        <v>73</v>
      </c>
      <c r="J330" s="3" t="s">
        <v>74</v>
      </c>
      <c r="K330" s="3" t="s">
        <v>807</v>
      </c>
      <c r="M330" s="3" t="s">
        <v>97</v>
      </c>
      <c r="N330" s="3" t="s">
        <v>98</v>
      </c>
      <c r="O330" s="3" t="s">
        <v>78</v>
      </c>
      <c r="P330" s="3" t="s">
        <v>79</v>
      </c>
      <c r="Q330" s="3" t="s">
        <v>475</v>
      </c>
      <c r="S330" s="18">
        <v>0</v>
      </c>
      <c r="T330" s="18">
        <v>21.34</v>
      </c>
      <c r="U330" s="18">
        <v>35.11</v>
      </c>
      <c r="Z330" s="3" t="s">
        <v>264</v>
      </c>
      <c r="AC330" s="3" t="s">
        <v>81</v>
      </c>
      <c r="AD330" s="5">
        <v>38.905961518470399</v>
      </c>
      <c r="AE330" s="17">
        <v>-77.018705554126896</v>
      </c>
      <c r="AH330" s="3">
        <v>2012</v>
      </c>
      <c r="AI330" s="3">
        <v>6</v>
      </c>
      <c r="AJ330" s="8">
        <v>30</v>
      </c>
      <c r="AK330" s="3">
        <v>2012</v>
      </c>
      <c r="AL330" s="3">
        <v>6</v>
      </c>
      <c r="AM330" s="3">
        <v>30</v>
      </c>
      <c r="AN330" s="29">
        <v>1</v>
      </c>
      <c r="AY330" s="3">
        <v>78.452113882900306</v>
      </c>
      <c r="AZ330" s="3" t="s">
        <v>89</v>
      </c>
      <c r="BA330" s="3" t="s">
        <v>476</v>
      </c>
      <c r="BC330" s="3" t="s">
        <v>477</v>
      </c>
      <c r="BD330" s="8">
        <v>0</v>
      </c>
    </row>
    <row r="331" spans="1:56" ht="14.25" customHeight="1" thickBot="1">
      <c r="A331" s="3" t="s">
        <v>1734</v>
      </c>
      <c r="B331" s="3" t="s">
        <v>1692</v>
      </c>
      <c r="C331" s="3" t="s">
        <v>1286</v>
      </c>
      <c r="E331" s="3" t="s">
        <v>71</v>
      </c>
      <c r="F331" s="3">
        <f t="shared" si="2"/>
        <v>2</v>
      </c>
      <c r="G331" s="3" t="s">
        <v>72</v>
      </c>
      <c r="H331" s="3">
        <f t="shared" si="3"/>
        <v>2</v>
      </c>
      <c r="I331" s="3" t="s">
        <v>73</v>
      </c>
      <c r="J331" s="3" t="s">
        <v>74</v>
      </c>
      <c r="K331" s="3" t="s">
        <v>807</v>
      </c>
      <c r="M331" s="3" t="s">
        <v>97</v>
      </c>
      <c r="N331" s="3" t="s">
        <v>98</v>
      </c>
      <c r="O331" s="3" t="s">
        <v>78</v>
      </c>
      <c r="P331" s="3" t="s">
        <v>79</v>
      </c>
      <c r="Q331" s="3" t="s">
        <v>1735</v>
      </c>
      <c r="S331" s="18">
        <v>0</v>
      </c>
      <c r="T331" s="18">
        <v>22.23</v>
      </c>
      <c r="U331" s="18">
        <v>31.84</v>
      </c>
      <c r="AC331" s="3" t="s">
        <v>81</v>
      </c>
      <c r="AD331" s="6">
        <v>34.955080000000002</v>
      </c>
      <c r="AE331" s="6">
        <v>-97.268405999999999</v>
      </c>
      <c r="AH331" s="3">
        <v>2012</v>
      </c>
      <c r="AI331" s="3">
        <v>5</v>
      </c>
      <c r="AJ331" s="8">
        <v>25</v>
      </c>
      <c r="AK331" s="3">
        <v>2012</v>
      </c>
      <c r="AL331" s="3">
        <v>5</v>
      </c>
      <c r="AM331" s="3">
        <v>30</v>
      </c>
      <c r="AN331" s="29">
        <v>0</v>
      </c>
      <c r="AU331" s="3">
        <v>2000000</v>
      </c>
      <c r="AV331" s="3">
        <v>2549326</v>
      </c>
      <c r="AW331" s="3">
        <v>3400000</v>
      </c>
      <c r="AX331" s="3">
        <v>4333854</v>
      </c>
      <c r="AY331" s="3">
        <v>78.452113882900306</v>
      </c>
      <c r="AZ331" s="3" t="s">
        <v>89</v>
      </c>
      <c r="BA331" s="3" t="s">
        <v>1736</v>
      </c>
      <c r="BC331" s="3" t="s">
        <v>1737</v>
      </c>
      <c r="BD331" s="8">
        <v>0</v>
      </c>
    </row>
    <row r="332" spans="1:56" ht="14.25" customHeight="1" thickBot="1">
      <c r="A332" s="3" t="s">
        <v>1738</v>
      </c>
      <c r="B332" s="3" t="s">
        <v>1692</v>
      </c>
      <c r="C332" s="3" t="s">
        <v>1739</v>
      </c>
      <c r="E332" s="3" t="s">
        <v>71</v>
      </c>
      <c r="F332" s="3">
        <f t="shared" si="2"/>
        <v>2</v>
      </c>
      <c r="G332" s="3" t="s">
        <v>72</v>
      </c>
      <c r="H332" s="3">
        <f t="shared" si="3"/>
        <v>2</v>
      </c>
      <c r="I332" s="3" t="s">
        <v>73</v>
      </c>
      <c r="J332" s="3" t="s">
        <v>74</v>
      </c>
      <c r="K332" s="3" t="s">
        <v>807</v>
      </c>
      <c r="M332" s="3" t="s">
        <v>97</v>
      </c>
      <c r="N332" s="3" t="s">
        <v>98</v>
      </c>
      <c r="O332" s="3" t="s">
        <v>78</v>
      </c>
      <c r="P332" s="3" t="s">
        <v>79</v>
      </c>
      <c r="Q332" s="3" t="s">
        <v>1740</v>
      </c>
      <c r="S332" s="18">
        <v>0</v>
      </c>
      <c r="T332" s="18">
        <v>5.56</v>
      </c>
      <c r="U332" s="18">
        <v>23.15</v>
      </c>
      <c r="AC332" s="3" t="s">
        <v>81</v>
      </c>
      <c r="AD332" s="6">
        <v>38.725180000000002</v>
      </c>
      <c r="AE332" s="6">
        <v>-105.607716</v>
      </c>
      <c r="AH332" s="3">
        <v>2012</v>
      </c>
      <c r="AI332" s="3">
        <v>6</v>
      </c>
      <c r="AJ332" s="8">
        <v>6</v>
      </c>
      <c r="AK332" s="3">
        <v>2012</v>
      </c>
      <c r="AL332" s="3">
        <v>6</v>
      </c>
      <c r="AM332" s="3">
        <v>7</v>
      </c>
      <c r="AN332" s="29">
        <v>0</v>
      </c>
      <c r="AO332" s="3">
        <v>2</v>
      </c>
      <c r="AR332" s="3">
        <v>2</v>
      </c>
      <c r="AW332" s="3">
        <v>1400000</v>
      </c>
      <c r="AX332" s="3">
        <v>1784528</v>
      </c>
      <c r="AY332" s="3">
        <v>78.452113882900306</v>
      </c>
      <c r="AZ332" s="3" t="s">
        <v>89</v>
      </c>
      <c r="BA332" s="3" t="s">
        <v>1741</v>
      </c>
      <c r="BC332" s="3" t="s">
        <v>1742</v>
      </c>
      <c r="BD332" s="8">
        <v>1</v>
      </c>
    </row>
    <row r="333" spans="1:56" ht="14.25" customHeight="1" thickBot="1">
      <c r="A333" s="3" t="s">
        <v>1743</v>
      </c>
      <c r="B333" s="3" t="s">
        <v>1692</v>
      </c>
      <c r="C333" s="3" t="s">
        <v>158</v>
      </c>
      <c r="E333" s="3" t="s">
        <v>71</v>
      </c>
      <c r="F333" s="3">
        <f t="shared" si="2"/>
        <v>2</v>
      </c>
      <c r="G333" s="3" t="s">
        <v>72</v>
      </c>
      <c r="H333" s="3">
        <f t="shared" si="3"/>
        <v>2</v>
      </c>
      <c r="I333" s="3" t="s">
        <v>73</v>
      </c>
      <c r="J333" s="3" t="s">
        <v>74</v>
      </c>
      <c r="K333" s="3" t="s">
        <v>807</v>
      </c>
      <c r="M333" s="3" t="s">
        <v>97</v>
      </c>
      <c r="N333" s="3" t="s">
        <v>98</v>
      </c>
      <c r="O333" s="3" t="s">
        <v>78</v>
      </c>
      <c r="P333" s="3" t="s">
        <v>79</v>
      </c>
      <c r="Q333" s="3" t="s">
        <v>1744</v>
      </c>
      <c r="S333" s="18">
        <v>0</v>
      </c>
      <c r="T333" s="18">
        <v>23.1</v>
      </c>
      <c r="U333" s="18">
        <v>36.94</v>
      </c>
      <c r="AC333" s="3" t="s">
        <v>81</v>
      </c>
      <c r="AD333" s="6">
        <v>29.615770000000001</v>
      </c>
      <c r="AE333" s="6">
        <v>-98.523132000000004</v>
      </c>
      <c r="AH333" s="3">
        <v>2012</v>
      </c>
      <c r="AI333" s="3">
        <v>6</v>
      </c>
      <c r="AJ333" s="8">
        <v>11</v>
      </c>
      <c r="AK333" s="3">
        <v>2012</v>
      </c>
      <c r="AL333" s="3">
        <v>6</v>
      </c>
      <c r="AM333" s="3">
        <v>13</v>
      </c>
      <c r="AN333" s="29">
        <v>0</v>
      </c>
      <c r="AO333" s="3">
        <v>3</v>
      </c>
      <c r="AP333" s="3">
        <v>9000</v>
      </c>
      <c r="AR333" s="3">
        <v>9003</v>
      </c>
      <c r="AU333" s="3">
        <v>800000</v>
      </c>
      <c r="AV333" s="3">
        <v>1019730</v>
      </c>
      <c r="AW333" s="3">
        <v>1900000</v>
      </c>
      <c r="AX333" s="3">
        <v>2421860</v>
      </c>
      <c r="AY333" s="3">
        <v>78.452113882900306</v>
      </c>
      <c r="AZ333" s="3" t="s">
        <v>89</v>
      </c>
      <c r="BA333" s="3" t="s">
        <v>1745</v>
      </c>
      <c r="BC333" s="3" t="s">
        <v>1746</v>
      </c>
      <c r="BD333" s="8">
        <v>4</v>
      </c>
    </row>
    <row r="334" spans="1:56" ht="14.25" customHeight="1" thickBot="1">
      <c r="A334" s="3" t="s">
        <v>1747</v>
      </c>
      <c r="B334" s="3" t="s">
        <v>1692</v>
      </c>
      <c r="C334" s="3" t="s">
        <v>1748</v>
      </c>
      <c r="E334" s="3" t="s">
        <v>71</v>
      </c>
      <c r="F334" s="3">
        <f t="shared" si="2"/>
        <v>2</v>
      </c>
      <c r="G334" s="3" t="s">
        <v>72</v>
      </c>
      <c r="H334" s="3">
        <f t="shared" si="3"/>
        <v>2</v>
      </c>
      <c r="I334" s="3" t="s">
        <v>73</v>
      </c>
      <c r="J334" s="3" t="s">
        <v>74</v>
      </c>
      <c r="K334" s="3" t="s">
        <v>807</v>
      </c>
      <c r="M334" s="3" t="s">
        <v>97</v>
      </c>
      <c r="N334" s="3" t="s">
        <v>98</v>
      </c>
      <c r="O334" s="3" t="s">
        <v>78</v>
      </c>
      <c r="P334" s="3" t="s">
        <v>79</v>
      </c>
      <c r="Q334" s="3" t="s">
        <v>1749</v>
      </c>
      <c r="S334" s="18">
        <v>0</v>
      </c>
      <c r="T334" s="18">
        <v>17.36</v>
      </c>
      <c r="U334" s="18">
        <v>32.86</v>
      </c>
      <c r="AC334" s="3" t="s">
        <v>81</v>
      </c>
      <c r="AD334" s="6">
        <v>40.225360000000002</v>
      </c>
      <c r="AE334" s="6">
        <v>-82.688140000000004</v>
      </c>
      <c r="AH334" s="3">
        <v>2012</v>
      </c>
      <c r="AI334" s="3">
        <v>7</v>
      </c>
      <c r="AJ334" s="8">
        <v>2</v>
      </c>
      <c r="AK334" s="3">
        <v>2012</v>
      </c>
      <c r="AL334" s="3">
        <v>7</v>
      </c>
      <c r="AM334" s="3">
        <v>4</v>
      </c>
      <c r="AN334" s="29">
        <v>1</v>
      </c>
      <c r="AU334" s="3">
        <v>450000</v>
      </c>
      <c r="AV334" s="3">
        <v>573598</v>
      </c>
      <c r="AW334" s="3">
        <v>700000</v>
      </c>
      <c r="AX334" s="3">
        <v>892264</v>
      </c>
      <c r="AY334" s="3">
        <v>78.452113882900306</v>
      </c>
      <c r="AZ334" s="3" t="s">
        <v>89</v>
      </c>
      <c r="BA334" s="3" t="s">
        <v>1750</v>
      </c>
      <c r="BC334" s="3" t="s">
        <v>1751</v>
      </c>
      <c r="BD334" s="8">
        <v>0</v>
      </c>
    </row>
    <row r="335" spans="1:56" ht="14.25" customHeight="1" thickBot="1">
      <c r="A335" s="3" t="s">
        <v>1752</v>
      </c>
      <c r="B335" s="3" t="s">
        <v>1692</v>
      </c>
      <c r="C335" s="3" t="s">
        <v>1753</v>
      </c>
      <c r="E335" s="3" t="s">
        <v>71</v>
      </c>
      <c r="F335" s="3">
        <f t="shared" si="2"/>
        <v>2</v>
      </c>
      <c r="G335" s="3" t="s">
        <v>72</v>
      </c>
      <c r="H335" s="3">
        <f t="shared" si="3"/>
        <v>2</v>
      </c>
      <c r="I335" s="3" t="s">
        <v>73</v>
      </c>
      <c r="J335" s="3" t="s">
        <v>74</v>
      </c>
      <c r="K335" s="3" t="s">
        <v>807</v>
      </c>
      <c r="M335" s="3" t="s">
        <v>97</v>
      </c>
      <c r="N335" s="3" t="s">
        <v>98</v>
      </c>
      <c r="O335" s="3" t="s">
        <v>78</v>
      </c>
      <c r="P335" s="3" t="s">
        <v>79</v>
      </c>
      <c r="Q335" s="3" t="s">
        <v>1754</v>
      </c>
      <c r="S335" s="18">
        <v>12.63</v>
      </c>
      <c r="T335" s="18">
        <v>18.87</v>
      </c>
      <c r="U335" s="18">
        <v>33.54</v>
      </c>
      <c r="AB335" s="3">
        <v>95</v>
      </c>
      <c r="AC335" s="3" t="s">
        <v>81</v>
      </c>
      <c r="AD335" s="6">
        <v>38.760480000000001</v>
      </c>
      <c r="AE335" s="6">
        <v>-92.561786999999995</v>
      </c>
      <c r="AH335" s="3">
        <v>2012</v>
      </c>
      <c r="AI335" s="3">
        <v>9</v>
      </c>
      <c r="AJ335" s="8">
        <v>7</v>
      </c>
      <c r="AK335" s="3">
        <v>2012</v>
      </c>
      <c r="AL335" s="3">
        <v>9</v>
      </c>
      <c r="AM335" s="3">
        <v>9</v>
      </c>
      <c r="AN335" s="29">
        <v>5</v>
      </c>
      <c r="AU335" s="3">
        <v>200000</v>
      </c>
      <c r="AV335" s="3">
        <v>254933</v>
      </c>
      <c r="AW335" s="3">
        <v>210000</v>
      </c>
      <c r="AX335" s="3">
        <v>267679</v>
      </c>
      <c r="AY335" s="3">
        <v>78.452113882900306</v>
      </c>
      <c r="AZ335" s="3" t="s">
        <v>89</v>
      </c>
      <c r="BA335" s="3" t="s">
        <v>1755</v>
      </c>
      <c r="BC335" s="3" t="s">
        <v>1756</v>
      </c>
      <c r="BD335" s="8">
        <v>0</v>
      </c>
    </row>
    <row r="336" spans="1:56" ht="14.25" customHeight="1" thickBot="1">
      <c r="A336" s="3" t="s">
        <v>1757</v>
      </c>
      <c r="B336" s="3" t="s">
        <v>1692</v>
      </c>
      <c r="C336" s="3" t="s">
        <v>1328</v>
      </c>
      <c r="E336" s="3" t="s">
        <v>71</v>
      </c>
      <c r="F336" s="3">
        <f t="shared" si="2"/>
        <v>2</v>
      </c>
      <c r="G336" s="3" t="s">
        <v>72</v>
      </c>
      <c r="H336" s="3">
        <f t="shared" si="3"/>
        <v>2</v>
      </c>
      <c r="I336" s="3" t="s">
        <v>73</v>
      </c>
      <c r="J336" s="3" t="s">
        <v>74</v>
      </c>
      <c r="K336" s="3" t="s">
        <v>75</v>
      </c>
      <c r="M336" s="3" t="s">
        <v>97</v>
      </c>
      <c r="N336" s="3" t="s">
        <v>98</v>
      </c>
      <c r="O336" s="3" t="s">
        <v>78</v>
      </c>
      <c r="P336" s="3" t="s">
        <v>79</v>
      </c>
      <c r="Q336" s="3" t="s">
        <v>1758</v>
      </c>
      <c r="S336" s="18">
        <v>0</v>
      </c>
      <c r="T336" s="18">
        <v>18.5</v>
      </c>
      <c r="U336" s="18">
        <v>23.56</v>
      </c>
      <c r="Z336" s="3" t="s">
        <v>264</v>
      </c>
      <c r="AB336" s="3">
        <v>240</v>
      </c>
      <c r="AC336" s="3" t="s">
        <v>81</v>
      </c>
      <c r="AD336" s="6">
        <v>29.834769999999999</v>
      </c>
      <c r="AE336" s="6">
        <v>-94.170450000000002</v>
      </c>
      <c r="AH336" s="3">
        <v>2012</v>
      </c>
      <c r="AI336" s="3">
        <v>1</v>
      </c>
      <c r="AJ336" s="8">
        <v>22</v>
      </c>
      <c r="AK336" s="3">
        <v>2012</v>
      </c>
      <c r="AL336" s="3">
        <v>1</v>
      </c>
      <c r="AM336" s="3">
        <v>23</v>
      </c>
      <c r="AN336" s="29">
        <v>2</v>
      </c>
      <c r="AO336" s="3">
        <v>100</v>
      </c>
      <c r="AR336" s="3">
        <v>100</v>
      </c>
      <c r="AU336" s="3">
        <v>100000</v>
      </c>
      <c r="AV336" s="3">
        <v>127466</v>
      </c>
      <c r="AW336" s="3">
        <v>175000</v>
      </c>
      <c r="AX336" s="3">
        <v>223066</v>
      </c>
      <c r="AY336" s="3">
        <v>78.452113882900306</v>
      </c>
      <c r="AZ336" s="3" t="s">
        <v>82</v>
      </c>
      <c r="BB336" s="3" t="s">
        <v>1759</v>
      </c>
      <c r="BC336" s="3" t="s">
        <v>1760</v>
      </c>
      <c r="BD336" s="8">
        <v>3</v>
      </c>
    </row>
    <row r="337" spans="1:56" ht="14.25" customHeight="1" thickBot="1">
      <c r="A337" s="3" t="s">
        <v>1761</v>
      </c>
      <c r="B337" s="3" t="s">
        <v>1692</v>
      </c>
      <c r="C337" s="3" t="s">
        <v>1762</v>
      </c>
      <c r="E337" s="3" t="s">
        <v>71</v>
      </c>
      <c r="F337" s="3">
        <f t="shared" si="2"/>
        <v>2</v>
      </c>
      <c r="G337" s="3" t="s">
        <v>72</v>
      </c>
      <c r="H337" s="3">
        <f t="shared" si="3"/>
        <v>2</v>
      </c>
      <c r="I337" s="3" t="s">
        <v>73</v>
      </c>
      <c r="J337" s="3" t="s">
        <v>74</v>
      </c>
      <c r="K337" s="3" t="s">
        <v>75</v>
      </c>
      <c r="M337" s="3" t="s">
        <v>97</v>
      </c>
      <c r="N337" s="3" t="s">
        <v>98</v>
      </c>
      <c r="O337" s="3" t="s">
        <v>78</v>
      </c>
      <c r="P337" s="3" t="s">
        <v>79</v>
      </c>
      <c r="Q337" s="3" t="s">
        <v>1763</v>
      </c>
      <c r="S337" s="18">
        <v>8.6</v>
      </c>
      <c r="T337" s="18">
        <v>-8.41</v>
      </c>
      <c r="U337" s="18">
        <v>8.3000000000000007</v>
      </c>
      <c r="Z337" s="3" t="s">
        <v>264</v>
      </c>
      <c r="AB337" s="3">
        <v>270</v>
      </c>
      <c r="AC337" s="3" t="s">
        <v>81</v>
      </c>
      <c r="AD337" s="6">
        <v>41.737020000000001</v>
      </c>
      <c r="AE337" s="6">
        <v>-99.587382000000005</v>
      </c>
      <c r="AH337" s="3">
        <v>2012</v>
      </c>
      <c r="AI337" s="3">
        <v>2</v>
      </c>
      <c r="AJ337" s="8">
        <v>28</v>
      </c>
      <c r="AK337" s="3">
        <v>2012</v>
      </c>
      <c r="AL337" s="3">
        <v>2</v>
      </c>
      <c r="AM337" s="3">
        <v>29</v>
      </c>
      <c r="AN337" s="29">
        <v>14</v>
      </c>
      <c r="AO337" s="3">
        <v>200</v>
      </c>
      <c r="AR337" s="3">
        <v>200</v>
      </c>
      <c r="AU337" s="3">
        <v>450000</v>
      </c>
      <c r="AV337" s="3">
        <v>573598</v>
      </c>
      <c r="AW337" s="3">
        <v>500000</v>
      </c>
      <c r="AX337" s="3">
        <v>637331</v>
      </c>
      <c r="AY337" s="3">
        <v>78.452113882900306</v>
      </c>
      <c r="AZ337" s="3" t="s">
        <v>89</v>
      </c>
      <c r="BA337" s="3" t="s">
        <v>1764</v>
      </c>
      <c r="BC337" s="3" t="s">
        <v>1765</v>
      </c>
      <c r="BD337" s="8">
        <v>3</v>
      </c>
    </row>
    <row r="338" spans="1:56" ht="14.25" customHeight="1" thickBot="1">
      <c r="A338" s="3" t="s">
        <v>1766</v>
      </c>
      <c r="B338" s="3" t="s">
        <v>1692</v>
      </c>
      <c r="C338" s="3" t="s">
        <v>1767</v>
      </c>
      <c r="E338" s="3" t="s">
        <v>71</v>
      </c>
      <c r="F338" s="3">
        <f t="shared" si="2"/>
        <v>2</v>
      </c>
      <c r="G338" s="3" t="s">
        <v>72</v>
      </c>
      <c r="H338" s="3">
        <f t="shared" si="3"/>
        <v>2</v>
      </c>
      <c r="I338" s="3" t="s">
        <v>73</v>
      </c>
      <c r="J338" s="3" t="s">
        <v>74</v>
      </c>
      <c r="K338" s="3" t="s">
        <v>75</v>
      </c>
      <c r="M338" s="3" t="s">
        <v>97</v>
      </c>
      <c r="N338" s="3" t="s">
        <v>98</v>
      </c>
      <c r="O338" s="3" t="s">
        <v>78</v>
      </c>
      <c r="P338" s="3" t="s">
        <v>79</v>
      </c>
      <c r="Q338" s="3" t="s">
        <v>1768</v>
      </c>
      <c r="S338" s="18">
        <v>0</v>
      </c>
      <c r="T338" s="18">
        <v>19.64</v>
      </c>
      <c r="U338" s="18">
        <v>28.06</v>
      </c>
      <c r="AC338" s="3" t="s">
        <v>81</v>
      </c>
      <c r="AD338" s="6">
        <v>32.776269999999997</v>
      </c>
      <c r="AE338" s="6">
        <v>-96.796856000000005</v>
      </c>
      <c r="AH338" s="3">
        <v>2012</v>
      </c>
      <c r="AI338" s="3">
        <v>4</v>
      </c>
      <c r="AJ338" s="8">
        <v>2</v>
      </c>
      <c r="AK338" s="3">
        <v>2012</v>
      </c>
      <c r="AL338" s="3">
        <v>4</v>
      </c>
      <c r="AM338" s="3">
        <v>3</v>
      </c>
      <c r="AN338" s="29">
        <v>0</v>
      </c>
      <c r="AP338" s="3">
        <v>3300</v>
      </c>
      <c r="AR338" s="3">
        <v>3300</v>
      </c>
      <c r="AU338" s="3">
        <v>800000</v>
      </c>
      <c r="AV338" s="3">
        <v>1019730</v>
      </c>
      <c r="AW338" s="3">
        <v>1550000</v>
      </c>
      <c r="AX338" s="3">
        <v>1975728</v>
      </c>
      <c r="AY338" s="3">
        <v>78.452113882900306</v>
      </c>
      <c r="AZ338" s="3" t="s">
        <v>82</v>
      </c>
      <c r="BB338" s="3" t="s">
        <v>1769</v>
      </c>
      <c r="BC338" s="3" t="s">
        <v>1770</v>
      </c>
      <c r="BD338" s="8">
        <v>4</v>
      </c>
    </row>
    <row r="339" spans="1:56" ht="14.25" customHeight="1" thickBot="1">
      <c r="A339" s="3" t="s">
        <v>1771</v>
      </c>
      <c r="B339" s="3" t="s">
        <v>1692</v>
      </c>
      <c r="C339" s="3" t="s">
        <v>1204</v>
      </c>
      <c r="E339" s="3" t="s">
        <v>71</v>
      </c>
      <c r="F339" s="3">
        <f t="shared" si="2"/>
        <v>2</v>
      </c>
      <c r="G339" s="3" t="s">
        <v>72</v>
      </c>
      <c r="H339" s="3">
        <f t="shared" si="3"/>
        <v>2</v>
      </c>
      <c r="I339" s="3" t="s">
        <v>73</v>
      </c>
      <c r="J339" s="3" t="s">
        <v>74</v>
      </c>
      <c r="K339" s="3" t="s">
        <v>75</v>
      </c>
      <c r="M339" s="3" t="s">
        <v>97</v>
      </c>
      <c r="N339" s="3" t="s">
        <v>98</v>
      </c>
      <c r="O339" s="3" t="s">
        <v>78</v>
      </c>
      <c r="P339" s="3" t="s">
        <v>79</v>
      </c>
      <c r="Q339" s="3" t="s">
        <v>1772</v>
      </c>
      <c r="S339" s="18">
        <v>12.26</v>
      </c>
      <c r="T339" s="18">
        <v>20.04</v>
      </c>
      <c r="U339" s="18">
        <v>25.03</v>
      </c>
      <c r="Z339" s="3" t="s">
        <v>264</v>
      </c>
      <c r="AC339" s="3" t="s">
        <v>81</v>
      </c>
      <c r="AD339" s="6">
        <v>34.955080000000002</v>
      </c>
      <c r="AE339" s="6">
        <v>-97.268405999999999</v>
      </c>
      <c r="AH339" s="3">
        <v>2012</v>
      </c>
      <c r="AI339" s="3">
        <v>4</v>
      </c>
      <c r="AJ339" s="8">
        <v>14</v>
      </c>
      <c r="AK339" s="3">
        <v>2012</v>
      </c>
      <c r="AL339" s="3">
        <v>4</v>
      </c>
      <c r="AM339" s="3">
        <v>15</v>
      </c>
      <c r="AN339" s="29">
        <v>6</v>
      </c>
      <c r="AO339" s="3">
        <v>30</v>
      </c>
      <c r="AQ339" s="3">
        <v>267</v>
      </c>
      <c r="AR339" s="3">
        <v>297</v>
      </c>
      <c r="AU339" s="3">
        <v>910000</v>
      </c>
      <c r="AV339" s="3">
        <v>1159943</v>
      </c>
      <c r="AW339" s="3">
        <v>1800000</v>
      </c>
      <c r="AX339" s="3">
        <v>2294393</v>
      </c>
      <c r="AY339" s="3">
        <v>78.452113882900306</v>
      </c>
      <c r="AZ339" s="3" t="s">
        <v>89</v>
      </c>
      <c r="BA339" s="3" t="s">
        <v>1773</v>
      </c>
      <c r="BC339" s="3" t="s">
        <v>1774</v>
      </c>
      <c r="BD339" s="8">
        <v>3</v>
      </c>
    </row>
    <row r="340" spans="1:56" ht="14.25" customHeight="1" thickBot="1">
      <c r="A340" s="3" t="s">
        <v>1775</v>
      </c>
      <c r="B340" s="3" t="s">
        <v>1708</v>
      </c>
      <c r="C340" s="3" t="s">
        <v>717</v>
      </c>
      <c r="E340" s="3" t="s">
        <v>71</v>
      </c>
      <c r="F340" s="3">
        <f t="shared" si="2"/>
        <v>2</v>
      </c>
      <c r="G340" s="3" t="s">
        <v>72</v>
      </c>
      <c r="H340" s="3">
        <f t="shared" si="3"/>
        <v>2</v>
      </c>
      <c r="I340" s="3" t="s">
        <v>73</v>
      </c>
      <c r="J340" s="3" t="s">
        <v>74</v>
      </c>
      <c r="K340" s="3" t="s">
        <v>807</v>
      </c>
      <c r="M340" s="3" t="s">
        <v>97</v>
      </c>
      <c r="N340" s="3" t="s">
        <v>98</v>
      </c>
      <c r="O340" s="3" t="s">
        <v>78</v>
      </c>
      <c r="P340" s="3" t="s">
        <v>79</v>
      </c>
      <c r="Q340" s="3" t="s">
        <v>1776</v>
      </c>
      <c r="S340" s="18">
        <v>0</v>
      </c>
      <c r="T340" s="18">
        <v>10.15</v>
      </c>
      <c r="U340" s="18">
        <v>24.08</v>
      </c>
      <c r="V340" s="3" t="s">
        <v>355</v>
      </c>
      <c r="W340" s="3" t="s">
        <v>95</v>
      </c>
      <c r="AC340" s="3" t="s">
        <v>81</v>
      </c>
      <c r="AD340" s="6">
        <v>38.725180000000002</v>
      </c>
      <c r="AE340" s="6">
        <v>-105.607716</v>
      </c>
      <c r="AH340" s="3">
        <v>2013</v>
      </c>
      <c r="AI340" s="3">
        <v>8</v>
      </c>
      <c r="AJ340" s="8">
        <v>2</v>
      </c>
      <c r="AK340" s="3">
        <v>2013</v>
      </c>
      <c r="AL340" s="3">
        <v>8</v>
      </c>
      <c r="AM340" s="3">
        <v>3</v>
      </c>
      <c r="AN340" s="29">
        <v>0</v>
      </c>
      <c r="AU340" s="3">
        <v>200000</v>
      </c>
      <c r="AV340" s="3">
        <v>251252</v>
      </c>
      <c r="AW340" s="3">
        <v>300000</v>
      </c>
      <c r="AX340" s="3">
        <v>376878</v>
      </c>
      <c r="AY340" s="3">
        <v>79.6013094233451</v>
      </c>
      <c r="AZ340" s="3" t="s">
        <v>89</v>
      </c>
      <c r="BA340" s="3" t="s">
        <v>1777</v>
      </c>
      <c r="BC340" s="3" t="s">
        <v>1778</v>
      </c>
      <c r="BD340" s="8">
        <v>0</v>
      </c>
    </row>
    <row r="341" spans="1:56" ht="14.25" customHeight="1" thickBot="1">
      <c r="A341" s="3" t="s">
        <v>1779</v>
      </c>
      <c r="B341" s="3" t="s">
        <v>1708</v>
      </c>
      <c r="C341" s="3" t="s">
        <v>1780</v>
      </c>
      <c r="E341" s="3" t="s">
        <v>71</v>
      </c>
      <c r="F341" s="3">
        <f t="shared" si="2"/>
        <v>2</v>
      </c>
      <c r="G341" s="3" t="s">
        <v>72</v>
      </c>
      <c r="H341" s="3">
        <f t="shared" si="3"/>
        <v>2</v>
      </c>
      <c r="I341" s="3" t="s">
        <v>73</v>
      </c>
      <c r="J341" s="3" t="s">
        <v>74</v>
      </c>
      <c r="K341" s="3" t="s">
        <v>75</v>
      </c>
      <c r="M341" s="3" t="s">
        <v>97</v>
      </c>
      <c r="N341" s="3" t="s">
        <v>98</v>
      </c>
      <c r="O341" s="3" t="s">
        <v>78</v>
      </c>
      <c r="P341" s="3" t="s">
        <v>79</v>
      </c>
      <c r="Q341" s="3" t="s">
        <v>1781</v>
      </c>
      <c r="S341" s="18">
        <v>0</v>
      </c>
      <c r="T341" s="18">
        <v>1.1000000000000001</v>
      </c>
      <c r="U341" s="18">
        <v>18.100000000000001</v>
      </c>
      <c r="V341" s="3" t="s">
        <v>355</v>
      </c>
      <c r="Z341" s="3" t="s">
        <v>264</v>
      </c>
      <c r="AB341" s="3">
        <v>320</v>
      </c>
      <c r="AC341" s="3" t="s">
        <v>81</v>
      </c>
      <c r="AD341" s="6">
        <v>45.709099999999999</v>
      </c>
      <c r="AE341" s="6">
        <v>-68.859020000000001</v>
      </c>
      <c r="AH341" s="3">
        <v>2013</v>
      </c>
      <c r="AI341" s="3">
        <v>5</v>
      </c>
      <c r="AJ341" s="8">
        <v>18</v>
      </c>
      <c r="AK341" s="3">
        <v>2013</v>
      </c>
      <c r="AL341" s="3">
        <v>5</v>
      </c>
      <c r="AM341" s="3">
        <v>22</v>
      </c>
      <c r="AN341" s="29">
        <v>29</v>
      </c>
      <c r="AO341" s="3">
        <v>450</v>
      </c>
      <c r="AR341" s="3">
        <v>450</v>
      </c>
      <c r="AU341" s="3">
        <v>1800000</v>
      </c>
      <c r="AV341" s="3">
        <v>2261269</v>
      </c>
      <c r="AW341" s="3">
        <v>3100000</v>
      </c>
      <c r="AX341" s="3">
        <v>3894408</v>
      </c>
      <c r="AY341" s="3">
        <v>79.6013094233451</v>
      </c>
      <c r="AZ341" s="3" t="s">
        <v>89</v>
      </c>
      <c r="BA341" s="3" t="s">
        <v>1782</v>
      </c>
      <c r="BC341" s="3" t="s">
        <v>1783</v>
      </c>
      <c r="BD341" s="8">
        <v>3</v>
      </c>
    </row>
    <row r="342" spans="1:56" ht="14.25" customHeight="1" thickBot="1">
      <c r="A342" s="3" t="s">
        <v>1784</v>
      </c>
      <c r="B342" s="3" t="s">
        <v>1708</v>
      </c>
      <c r="C342" s="3" t="s">
        <v>1785</v>
      </c>
      <c r="E342" s="3" t="s">
        <v>71</v>
      </c>
      <c r="F342" s="3">
        <f t="shared" si="2"/>
        <v>2</v>
      </c>
      <c r="G342" s="3" t="s">
        <v>72</v>
      </c>
      <c r="H342" s="3">
        <f t="shared" si="3"/>
        <v>2</v>
      </c>
      <c r="I342" s="3" t="s">
        <v>73</v>
      </c>
      <c r="J342" s="3" t="s">
        <v>74</v>
      </c>
      <c r="K342" s="3" t="s">
        <v>807</v>
      </c>
      <c r="M342" s="3" t="s">
        <v>97</v>
      </c>
      <c r="N342" s="3" t="s">
        <v>98</v>
      </c>
      <c r="O342" s="3" t="s">
        <v>78</v>
      </c>
      <c r="P342" s="3" t="s">
        <v>79</v>
      </c>
      <c r="Q342" s="3" t="s">
        <v>1786</v>
      </c>
      <c r="S342" s="18">
        <v>0</v>
      </c>
      <c r="T342" s="18">
        <v>19.46</v>
      </c>
      <c r="U342" s="18">
        <v>34.340000000000003</v>
      </c>
      <c r="AC342" s="3" t="s">
        <v>81</v>
      </c>
      <c r="AD342" s="6">
        <v>40.079659999999997</v>
      </c>
      <c r="AE342" s="6">
        <v>-89.433729</v>
      </c>
      <c r="AH342" s="3">
        <v>2013</v>
      </c>
      <c r="AI342" s="3">
        <v>6</v>
      </c>
      <c r="AJ342" s="8">
        <v>12</v>
      </c>
      <c r="AK342" s="3">
        <v>2013</v>
      </c>
      <c r="AL342" s="3">
        <v>6</v>
      </c>
      <c r="AM342" s="3">
        <v>13</v>
      </c>
      <c r="AN342" s="29">
        <v>4</v>
      </c>
      <c r="AU342" s="3">
        <v>450000</v>
      </c>
      <c r="AV342" s="3">
        <v>565317</v>
      </c>
      <c r="AW342" s="3">
        <v>900000</v>
      </c>
      <c r="AX342" s="3">
        <v>1130635</v>
      </c>
      <c r="AY342" s="3">
        <v>79.6013094233451</v>
      </c>
      <c r="AZ342" s="3" t="s">
        <v>89</v>
      </c>
      <c r="BA342" s="3" t="s">
        <v>1787</v>
      </c>
      <c r="BC342" s="3" t="s">
        <v>1788</v>
      </c>
      <c r="BD342" s="8">
        <v>0</v>
      </c>
    </row>
    <row r="343" spans="1:56" ht="14.25" customHeight="1" thickBot="1">
      <c r="A343" s="3" t="s">
        <v>1789</v>
      </c>
      <c r="B343" s="3" t="s">
        <v>1708</v>
      </c>
      <c r="C343" s="3" t="s">
        <v>1790</v>
      </c>
      <c r="E343" s="3" t="s">
        <v>71</v>
      </c>
      <c r="F343" s="3">
        <f t="shared" si="2"/>
        <v>2</v>
      </c>
      <c r="G343" s="3" t="s">
        <v>72</v>
      </c>
      <c r="H343" s="3">
        <f t="shared" si="3"/>
        <v>2</v>
      </c>
      <c r="I343" s="3" t="s">
        <v>73</v>
      </c>
      <c r="J343" s="3" t="s">
        <v>74</v>
      </c>
      <c r="K343" s="3" t="s">
        <v>75</v>
      </c>
      <c r="M343" s="3" t="s">
        <v>97</v>
      </c>
      <c r="N343" s="3" t="s">
        <v>98</v>
      </c>
      <c r="O343" s="3" t="s">
        <v>78</v>
      </c>
      <c r="P343" s="3" t="s">
        <v>79</v>
      </c>
      <c r="Q343" s="3" t="s">
        <v>1791</v>
      </c>
      <c r="S343" s="18">
        <v>2.0099999999999998</v>
      </c>
      <c r="T343" s="18">
        <v>10.46</v>
      </c>
      <c r="U343" s="18">
        <v>22.75</v>
      </c>
      <c r="AC343" s="3" t="s">
        <v>81</v>
      </c>
      <c r="AD343" s="6">
        <v>33.258879999999998</v>
      </c>
      <c r="AE343" s="6">
        <v>-86.829533999999995</v>
      </c>
      <c r="AH343" s="3">
        <v>2013</v>
      </c>
      <c r="AI343" s="3">
        <v>1</v>
      </c>
      <c r="AJ343" s="8">
        <v>29</v>
      </c>
      <c r="AK343" s="3">
        <v>2013</v>
      </c>
      <c r="AL343" s="3">
        <v>1</v>
      </c>
      <c r="AM343" s="3">
        <v>30</v>
      </c>
      <c r="AN343" s="29">
        <v>3</v>
      </c>
      <c r="AO343" s="3">
        <v>18</v>
      </c>
      <c r="AP343" s="3">
        <v>1089</v>
      </c>
      <c r="AR343" s="3">
        <v>1107</v>
      </c>
      <c r="AU343" s="3">
        <v>200000</v>
      </c>
      <c r="AV343" s="3">
        <v>251252</v>
      </c>
      <c r="AW343" s="3">
        <v>300000</v>
      </c>
      <c r="AX343" s="3">
        <v>376878</v>
      </c>
      <c r="AY343" s="3">
        <v>79.6013094233451</v>
      </c>
      <c r="AZ343" s="3" t="s">
        <v>89</v>
      </c>
      <c r="BA343" s="3" t="s">
        <v>1792</v>
      </c>
      <c r="BC343" s="3" t="s">
        <v>1793</v>
      </c>
      <c r="BD343" s="8">
        <v>4</v>
      </c>
    </row>
    <row r="344" spans="1:56" ht="14.25" customHeight="1" thickBot="1">
      <c r="A344" s="3" t="s">
        <v>1794</v>
      </c>
      <c r="B344" s="3" t="s">
        <v>1491</v>
      </c>
      <c r="C344" s="3" t="s">
        <v>1795</v>
      </c>
      <c r="E344" s="3" t="s">
        <v>71</v>
      </c>
      <c r="F344" s="3">
        <f t="shared" si="2"/>
        <v>1</v>
      </c>
      <c r="G344" s="3" t="s">
        <v>94</v>
      </c>
      <c r="H344" s="3">
        <f t="shared" si="3"/>
        <v>1</v>
      </c>
      <c r="I344" s="3" t="s">
        <v>95</v>
      </c>
      <c r="J344" s="3" t="s">
        <v>96</v>
      </c>
      <c r="M344" s="3" t="s">
        <v>97</v>
      </c>
      <c r="N344" s="3" t="s">
        <v>98</v>
      </c>
      <c r="O344" s="3" t="s">
        <v>78</v>
      </c>
      <c r="P344" s="3" t="s">
        <v>79</v>
      </c>
      <c r="Q344" s="3" t="s">
        <v>1796</v>
      </c>
      <c r="R344" s="3" t="s">
        <v>1797</v>
      </c>
      <c r="S344" s="18">
        <v>0</v>
      </c>
      <c r="T344" s="18">
        <v>7.68</v>
      </c>
      <c r="U344" s="18">
        <v>26.62</v>
      </c>
      <c r="V344" s="3" t="s">
        <v>683</v>
      </c>
      <c r="AC344" s="3" t="s">
        <v>102</v>
      </c>
      <c r="AD344" s="6">
        <v>32.971530000000001</v>
      </c>
      <c r="AE344" s="6">
        <v>-89.734849999999994</v>
      </c>
      <c r="AH344" s="3">
        <v>2011</v>
      </c>
      <c r="AI344" s="3">
        <v>4</v>
      </c>
      <c r="AJ344" s="8">
        <v>18</v>
      </c>
      <c r="AK344" s="3">
        <v>2011</v>
      </c>
      <c r="AL344" s="3">
        <v>5</v>
      </c>
      <c r="AM344" s="3">
        <v>23</v>
      </c>
      <c r="AN344" s="29">
        <v>9</v>
      </c>
      <c r="AU344" s="3">
        <v>500000</v>
      </c>
      <c r="AV344" s="3">
        <v>650520</v>
      </c>
      <c r="AW344" s="3">
        <v>4600000</v>
      </c>
      <c r="AX344" s="3">
        <v>5984783</v>
      </c>
      <c r="AY344" s="3">
        <v>76.861595377819796</v>
      </c>
      <c r="AZ344" s="3" t="s">
        <v>89</v>
      </c>
      <c r="BA344" s="3" t="s">
        <v>1798</v>
      </c>
      <c r="BC344" s="3" t="s">
        <v>1799</v>
      </c>
      <c r="BD344" s="8">
        <v>0</v>
      </c>
    </row>
    <row r="345" spans="1:56" ht="14.25" customHeight="1" thickBot="1">
      <c r="A345" s="3" t="s">
        <v>1800</v>
      </c>
      <c r="B345" s="3" t="s">
        <v>1491</v>
      </c>
      <c r="C345" s="3" t="s">
        <v>1801</v>
      </c>
      <c r="E345" s="3" t="s">
        <v>71</v>
      </c>
      <c r="F345" s="3">
        <f t="shared" si="2"/>
        <v>2</v>
      </c>
      <c r="G345" s="3" t="s">
        <v>72</v>
      </c>
      <c r="H345" s="3">
        <f t="shared" si="3"/>
        <v>2</v>
      </c>
      <c r="I345" s="3" t="s">
        <v>73</v>
      </c>
      <c r="J345" s="3" t="s">
        <v>212</v>
      </c>
      <c r="L345" s="3" t="s">
        <v>1802</v>
      </c>
      <c r="M345" s="3" t="s">
        <v>97</v>
      </c>
      <c r="N345" s="3" t="s">
        <v>98</v>
      </c>
      <c r="O345" s="3" t="s">
        <v>78</v>
      </c>
      <c r="P345" s="3" t="s">
        <v>79</v>
      </c>
      <c r="Q345" s="3" t="s">
        <v>1803</v>
      </c>
      <c r="S345" s="18">
        <v>106.96</v>
      </c>
      <c r="T345" s="18">
        <v>22.17</v>
      </c>
      <c r="U345" s="18">
        <v>25.73</v>
      </c>
      <c r="V345" s="3" t="s">
        <v>95</v>
      </c>
      <c r="Z345" s="3" t="s">
        <v>264</v>
      </c>
      <c r="AB345" s="3">
        <v>75</v>
      </c>
      <c r="AC345" s="3" t="s">
        <v>81</v>
      </c>
      <c r="AD345" s="6">
        <v>30.87039</v>
      </c>
      <c r="AE345" s="6">
        <v>-92.007126</v>
      </c>
      <c r="AH345" s="3">
        <v>2011</v>
      </c>
      <c r="AI345" s="3">
        <v>9</v>
      </c>
      <c r="AJ345" s="8">
        <v>4</v>
      </c>
      <c r="AK345" s="3">
        <v>2011</v>
      </c>
      <c r="AL345" s="3">
        <v>9</v>
      </c>
      <c r="AM345" s="3">
        <v>9</v>
      </c>
      <c r="AN345" s="29">
        <v>15</v>
      </c>
      <c r="AP345" s="3">
        <v>600</v>
      </c>
      <c r="AR345" s="3">
        <v>600</v>
      </c>
      <c r="AU345" s="3">
        <v>560000</v>
      </c>
      <c r="AV345" s="3">
        <v>728582</v>
      </c>
      <c r="AW345" s="3">
        <v>750000</v>
      </c>
      <c r="AX345" s="3">
        <v>975780</v>
      </c>
      <c r="AY345" s="3">
        <v>76.861595377819796</v>
      </c>
      <c r="AZ345" s="3" t="s">
        <v>89</v>
      </c>
      <c r="BA345" s="3" t="s">
        <v>1804</v>
      </c>
      <c r="BC345" s="3" t="s">
        <v>1805</v>
      </c>
      <c r="BD345" s="8">
        <v>3</v>
      </c>
    </row>
    <row r="346" spans="1:56" ht="14.25" customHeight="1" thickBot="1">
      <c r="A346" s="3" t="s">
        <v>1806</v>
      </c>
      <c r="B346" s="3" t="s">
        <v>1491</v>
      </c>
      <c r="C346" s="3" t="s">
        <v>1807</v>
      </c>
      <c r="E346" s="3" t="s">
        <v>71</v>
      </c>
      <c r="F346" s="3">
        <f t="shared" si="2"/>
        <v>2</v>
      </c>
      <c r="G346" s="3" t="s">
        <v>72</v>
      </c>
      <c r="H346" s="3">
        <f t="shared" si="3"/>
        <v>2</v>
      </c>
      <c r="I346" s="3" t="s">
        <v>73</v>
      </c>
      <c r="J346" s="3" t="s">
        <v>74</v>
      </c>
      <c r="K346" s="3" t="s">
        <v>127</v>
      </c>
      <c r="M346" s="3" t="s">
        <v>97</v>
      </c>
      <c r="N346" s="3" t="s">
        <v>98</v>
      </c>
      <c r="O346" s="3" t="s">
        <v>78</v>
      </c>
      <c r="P346" s="3" t="s">
        <v>79</v>
      </c>
      <c r="Q346" s="3" t="s">
        <v>1808</v>
      </c>
      <c r="S346" s="18">
        <v>42.57</v>
      </c>
      <c r="T346" s="18">
        <v>0.63</v>
      </c>
      <c r="U346" s="18">
        <v>6.73</v>
      </c>
      <c r="Z346" s="3" t="s">
        <v>264</v>
      </c>
      <c r="AC346" s="3" t="s">
        <v>81</v>
      </c>
      <c r="AD346" s="6">
        <v>40.712730000000001</v>
      </c>
      <c r="AE346" s="6">
        <v>-74.006015000000005</v>
      </c>
      <c r="AH346" s="3">
        <v>2011</v>
      </c>
      <c r="AI346" s="3">
        <v>10</v>
      </c>
      <c r="AJ346" s="8">
        <v>29</v>
      </c>
      <c r="AK346" s="3">
        <v>2011</v>
      </c>
      <c r="AL346" s="3">
        <v>10</v>
      </c>
      <c r="AM346" s="3">
        <v>31</v>
      </c>
      <c r="AN346" s="29">
        <v>29</v>
      </c>
      <c r="AU346" s="3">
        <v>800000</v>
      </c>
      <c r="AV346" s="3">
        <v>1040832</v>
      </c>
      <c r="AW346" s="3">
        <v>3000000</v>
      </c>
      <c r="AX346" s="3">
        <v>3903120</v>
      </c>
      <c r="AY346" s="3">
        <v>76.861595377819796</v>
      </c>
      <c r="AZ346" s="3" t="s">
        <v>89</v>
      </c>
      <c r="BA346" s="3" t="s">
        <v>1809</v>
      </c>
      <c r="BC346" s="3" t="s">
        <v>1810</v>
      </c>
      <c r="BD346" s="8">
        <v>0</v>
      </c>
    </row>
    <row r="347" spans="1:56" ht="14.25" customHeight="1" thickBot="1">
      <c r="A347" s="3" t="s">
        <v>1811</v>
      </c>
      <c r="B347" s="3" t="s">
        <v>1491</v>
      </c>
      <c r="C347" s="3" t="s">
        <v>1812</v>
      </c>
      <c r="E347" s="3" t="s">
        <v>71</v>
      </c>
      <c r="F347" s="3">
        <f t="shared" si="2"/>
        <v>2</v>
      </c>
      <c r="G347" s="3" t="s">
        <v>72</v>
      </c>
      <c r="H347" s="3">
        <f t="shared" si="3"/>
        <v>2</v>
      </c>
      <c r="I347" s="3" t="s">
        <v>73</v>
      </c>
      <c r="J347" s="3" t="s">
        <v>74</v>
      </c>
      <c r="K347" s="3" t="s">
        <v>127</v>
      </c>
      <c r="M347" s="3" t="s">
        <v>97</v>
      </c>
      <c r="N347" s="3" t="s">
        <v>98</v>
      </c>
      <c r="O347" s="3" t="s">
        <v>78</v>
      </c>
      <c r="P347" s="3" t="s">
        <v>79</v>
      </c>
      <c r="Q347" s="3" t="s">
        <v>1813</v>
      </c>
      <c r="S347" s="18">
        <v>0</v>
      </c>
      <c r="T347" s="18">
        <v>-13.66</v>
      </c>
      <c r="U347" s="18">
        <v>-0.71</v>
      </c>
      <c r="AC347" s="3" t="s">
        <v>81</v>
      </c>
      <c r="AD347" s="6">
        <v>38.725180000000002</v>
      </c>
      <c r="AE347" s="6">
        <v>-105.607716</v>
      </c>
      <c r="AH347" s="3">
        <v>2011</v>
      </c>
      <c r="AI347" s="3">
        <v>12</v>
      </c>
      <c r="AJ347" s="8">
        <v>20</v>
      </c>
      <c r="AK347" s="3">
        <v>2011</v>
      </c>
      <c r="AL347" s="3">
        <v>12</v>
      </c>
      <c r="AM347" s="3">
        <v>20</v>
      </c>
      <c r="AN347" s="29">
        <v>6</v>
      </c>
      <c r="AY347" s="3">
        <v>76.861595377819796</v>
      </c>
      <c r="AZ347" s="3" t="s">
        <v>89</v>
      </c>
      <c r="BA347" s="3" t="s">
        <v>1814</v>
      </c>
      <c r="BC347" s="3" t="s">
        <v>1815</v>
      </c>
      <c r="BD347" s="8">
        <v>0</v>
      </c>
    </row>
    <row r="348" spans="1:56" ht="14.25" customHeight="1" thickBot="1">
      <c r="A348" s="3" t="s">
        <v>1816</v>
      </c>
      <c r="B348" s="3" t="s">
        <v>1491</v>
      </c>
      <c r="C348" s="3" t="s">
        <v>1817</v>
      </c>
      <c r="E348" s="3" t="s">
        <v>71</v>
      </c>
      <c r="F348" s="3">
        <f t="shared" si="2"/>
        <v>2</v>
      </c>
      <c r="G348" s="3" t="s">
        <v>72</v>
      </c>
      <c r="H348" s="3">
        <f t="shared" si="3"/>
        <v>2</v>
      </c>
      <c r="I348" s="3" t="s">
        <v>73</v>
      </c>
      <c r="J348" s="3" t="s">
        <v>74</v>
      </c>
      <c r="K348" s="3" t="s">
        <v>127</v>
      </c>
      <c r="M348" s="3" t="s">
        <v>97</v>
      </c>
      <c r="N348" s="3" t="s">
        <v>98</v>
      </c>
      <c r="O348" s="3" t="s">
        <v>78</v>
      </c>
      <c r="P348" s="3" t="s">
        <v>79</v>
      </c>
      <c r="Q348" s="3" t="s">
        <v>1818</v>
      </c>
      <c r="S348" s="18">
        <v>0.75</v>
      </c>
      <c r="T348" s="18">
        <v>-6.96</v>
      </c>
      <c r="U348" s="18">
        <v>-2.37</v>
      </c>
      <c r="AC348" s="3" t="s">
        <v>81</v>
      </c>
      <c r="AD348" s="6">
        <v>40.079659999999997</v>
      </c>
      <c r="AE348" s="6">
        <v>-89.433729</v>
      </c>
      <c r="AH348" s="3">
        <v>2011</v>
      </c>
      <c r="AI348" s="3">
        <v>1</v>
      </c>
      <c r="AJ348" s="8">
        <v>7</v>
      </c>
      <c r="AK348" s="3">
        <v>2011</v>
      </c>
      <c r="AL348" s="3">
        <v>1</v>
      </c>
      <c r="AM348" s="3">
        <v>12</v>
      </c>
      <c r="AN348" s="29">
        <v>11</v>
      </c>
      <c r="AY348" s="3">
        <v>76.861595377819796</v>
      </c>
      <c r="AZ348" s="3" t="s">
        <v>89</v>
      </c>
      <c r="BA348" s="3" t="s">
        <v>1787</v>
      </c>
      <c r="BC348" s="3" t="s">
        <v>1788</v>
      </c>
      <c r="BD348" s="8">
        <v>0</v>
      </c>
    </row>
    <row r="349" spans="1:56" ht="14.25" customHeight="1" thickBot="1">
      <c r="A349" s="3" t="s">
        <v>1819</v>
      </c>
      <c r="B349" s="3" t="s">
        <v>1491</v>
      </c>
      <c r="C349" s="3" t="s">
        <v>1820</v>
      </c>
      <c r="E349" s="3" t="s">
        <v>71</v>
      </c>
      <c r="F349" s="3">
        <f t="shared" si="2"/>
        <v>2</v>
      </c>
      <c r="G349" s="3" t="s">
        <v>72</v>
      </c>
      <c r="H349" s="3">
        <f t="shared" si="3"/>
        <v>2</v>
      </c>
      <c r="I349" s="3" t="s">
        <v>73</v>
      </c>
      <c r="J349" s="3" t="s">
        <v>74</v>
      </c>
      <c r="K349" s="3" t="s">
        <v>127</v>
      </c>
      <c r="M349" s="3" t="s">
        <v>97</v>
      </c>
      <c r="N349" s="3" t="s">
        <v>98</v>
      </c>
      <c r="O349" s="3" t="s">
        <v>78</v>
      </c>
      <c r="P349" s="3" t="s">
        <v>79</v>
      </c>
      <c r="Q349" s="3" t="s">
        <v>1821</v>
      </c>
      <c r="S349" s="18">
        <v>0</v>
      </c>
      <c r="T349" s="18">
        <v>-5.42</v>
      </c>
      <c r="U349" s="18">
        <v>4</v>
      </c>
      <c r="AC349" s="3" t="s">
        <v>81</v>
      </c>
      <c r="AD349" s="6">
        <v>38.725180000000002</v>
      </c>
      <c r="AE349" s="6">
        <v>-105.607716</v>
      </c>
      <c r="AH349" s="3">
        <v>2011</v>
      </c>
      <c r="AI349" s="3">
        <v>1</v>
      </c>
      <c r="AJ349" s="8">
        <v>17</v>
      </c>
      <c r="AK349" s="3">
        <v>2011</v>
      </c>
      <c r="AL349" s="3">
        <v>1</v>
      </c>
      <c r="AM349" s="3">
        <v>24</v>
      </c>
      <c r="AN349" s="29">
        <v>10</v>
      </c>
      <c r="AY349" s="3">
        <v>76.861595377819796</v>
      </c>
      <c r="AZ349" s="3" t="s">
        <v>89</v>
      </c>
      <c r="BA349" s="3" t="s">
        <v>1822</v>
      </c>
      <c r="BC349" s="3" t="s">
        <v>1823</v>
      </c>
      <c r="BD349" s="8">
        <v>0</v>
      </c>
    </row>
    <row r="350" spans="1:56" ht="14.25" customHeight="1" thickBot="1">
      <c r="A350" s="3" t="s">
        <v>1824</v>
      </c>
      <c r="B350" s="3" t="s">
        <v>1491</v>
      </c>
      <c r="C350" s="3" t="s">
        <v>1825</v>
      </c>
      <c r="E350" s="3" t="s">
        <v>71</v>
      </c>
      <c r="F350" s="3">
        <f t="shared" si="2"/>
        <v>1</v>
      </c>
      <c r="G350" s="3" t="s">
        <v>94</v>
      </c>
      <c r="H350" s="3">
        <f t="shared" si="3"/>
        <v>1</v>
      </c>
      <c r="I350" s="3" t="s">
        <v>95</v>
      </c>
      <c r="J350" s="3" t="s">
        <v>96</v>
      </c>
      <c r="M350" s="3" t="s">
        <v>97</v>
      </c>
      <c r="N350" s="3" t="s">
        <v>98</v>
      </c>
      <c r="O350" s="3" t="s">
        <v>78</v>
      </c>
      <c r="P350" s="3" t="s">
        <v>79</v>
      </c>
      <c r="Q350" s="3" t="s">
        <v>1826</v>
      </c>
      <c r="R350" s="3" t="s">
        <v>1827</v>
      </c>
      <c r="S350" s="18">
        <v>0</v>
      </c>
      <c r="T350" s="18">
        <v>23.25</v>
      </c>
      <c r="U350" s="18">
        <v>32.42</v>
      </c>
      <c r="AB350" s="3">
        <v>26044</v>
      </c>
      <c r="AC350" s="3" t="s">
        <v>102</v>
      </c>
      <c r="AD350" s="8">
        <v>35.805999999999997</v>
      </c>
      <c r="AE350" s="8">
        <v>-79.37</v>
      </c>
      <c r="AH350" s="3">
        <v>2011</v>
      </c>
      <c r="AI350" s="3">
        <v>8</v>
      </c>
      <c r="AJ350" s="8">
        <v>6</v>
      </c>
      <c r="AK350" s="3">
        <v>2011</v>
      </c>
      <c r="AL350" s="3">
        <v>8</v>
      </c>
      <c r="AM350" s="3">
        <v>9</v>
      </c>
      <c r="AN350" s="29">
        <v>2</v>
      </c>
      <c r="AP350" s="3">
        <v>100</v>
      </c>
      <c r="AR350" s="3">
        <v>100</v>
      </c>
      <c r="AU350" s="3">
        <v>86000</v>
      </c>
      <c r="AV350" s="3">
        <v>111889</v>
      </c>
      <c r="AY350" s="3">
        <v>76.861595377819796</v>
      </c>
      <c r="AZ350" s="3" t="s">
        <v>82</v>
      </c>
      <c r="BB350" s="3" t="s">
        <v>1828</v>
      </c>
      <c r="BC350" s="3" t="s">
        <v>1829</v>
      </c>
      <c r="BD350" s="8">
        <v>3</v>
      </c>
    </row>
    <row r="351" spans="1:56" ht="14.25" customHeight="1" thickBot="1">
      <c r="A351" s="3" t="s">
        <v>1830</v>
      </c>
      <c r="B351" s="3" t="s">
        <v>1491</v>
      </c>
      <c r="C351" s="3" t="s">
        <v>1831</v>
      </c>
      <c r="E351" s="3" t="s">
        <v>71</v>
      </c>
      <c r="F351" s="3">
        <f t="shared" si="2"/>
        <v>1</v>
      </c>
      <c r="G351" s="3" t="s">
        <v>94</v>
      </c>
      <c r="H351" s="3">
        <f t="shared" si="3"/>
        <v>1</v>
      </c>
      <c r="I351" s="3" t="s">
        <v>95</v>
      </c>
      <c r="J351" s="3" t="s">
        <v>96</v>
      </c>
      <c r="M351" s="3" t="s">
        <v>97</v>
      </c>
      <c r="N351" s="3" t="s">
        <v>98</v>
      </c>
      <c r="O351" s="3" t="s">
        <v>78</v>
      </c>
      <c r="P351" s="3" t="s">
        <v>79</v>
      </c>
      <c r="Q351" s="3" t="s">
        <v>1832</v>
      </c>
      <c r="R351" s="3" t="s">
        <v>1833</v>
      </c>
      <c r="S351" s="18">
        <v>0</v>
      </c>
      <c r="T351" s="18">
        <v>2.46</v>
      </c>
      <c r="U351" s="18">
        <v>17.2</v>
      </c>
      <c r="AC351" s="3" t="s">
        <v>102</v>
      </c>
      <c r="AD351" s="6">
        <v>47.37527</v>
      </c>
      <c r="AE351" s="6">
        <v>-109.638757</v>
      </c>
      <c r="AG351" s="3" t="s">
        <v>1834</v>
      </c>
      <c r="AH351" s="3">
        <v>2011</v>
      </c>
      <c r="AI351" s="3">
        <v>5</v>
      </c>
      <c r="AJ351" s="8">
        <v>15</v>
      </c>
      <c r="AK351" s="3">
        <v>2011</v>
      </c>
      <c r="AL351" s="3">
        <v>6</v>
      </c>
      <c r="AM351" s="3">
        <v>30</v>
      </c>
      <c r="AN351" s="29">
        <v>5</v>
      </c>
      <c r="AQ351" s="3">
        <v>11000</v>
      </c>
      <c r="AR351" s="3">
        <v>11000</v>
      </c>
      <c r="AW351" s="3">
        <v>2000000</v>
      </c>
      <c r="AX351" s="3">
        <v>2602080</v>
      </c>
      <c r="AY351" s="3">
        <v>76.861595377819796</v>
      </c>
      <c r="AZ351" s="3" t="s">
        <v>89</v>
      </c>
      <c r="BA351" s="3" t="s">
        <v>1835</v>
      </c>
      <c r="BC351" s="3" t="s">
        <v>1836</v>
      </c>
      <c r="BD351" s="8">
        <v>5</v>
      </c>
    </row>
    <row r="352" spans="1:56" ht="14.25" customHeight="1" thickBot="1">
      <c r="A352" s="3" t="s">
        <v>1837</v>
      </c>
      <c r="B352" s="3" t="s">
        <v>1491</v>
      </c>
      <c r="C352" s="3" t="s">
        <v>1838</v>
      </c>
      <c r="E352" s="3" t="s">
        <v>71</v>
      </c>
      <c r="F352" s="3">
        <f t="shared" si="2"/>
        <v>2</v>
      </c>
      <c r="G352" s="3" t="s">
        <v>72</v>
      </c>
      <c r="H352" s="3">
        <f t="shared" si="3"/>
        <v>2</v>
      </c>
      <c r="I352" s="3" t="s">
        <v>73</v>
      </c>
      <c r="J352" s="3" t="s">
        <v>74</v>
      </c>
      <c r="M352" s="3" t="s">
        <v>97</v>
      </c>
      <c r="N352" s="3" t="s">
        <v>98</v>
      </c>
      <c r="O352" s="3" t="s">
        <v>78</v>
      </c>
      <c r="P352" s="3" t="s">
        <v>79</v>
      </c>
      <c r="Q352" s="3" t="s">
        <v>1839</v>
      </c>
      <c r="S352" s="18">
        <v>12.67</v>
      </c>
      <c r="T352" s="18">
        <v>4.97</v>
      </c>
      <c r="U352" s="18">
        <v>29.1</v>
      </c>
      <c r="AC352" s="3" t="s">
        <v>81</v>
      </c>
      <c r="AD352" s="6">
        <v>40.079659999999997</v>
      </c>
      <c r="AE352" s="6">
        <v>-89.433729</v>
      </c>
      <c r="AH352" s="3">
        <v>2011</v>
      </c>
      <c r="AI352" s="3">
        <v>4</v>
      </c>
      <c r="AJ352" s="8">
        <v>3</v>
      </c>
      <c r="AK352" s="3">
        <v>2011</v>
      </c>
      <c r="AL352" s="3">
        <v>4</v>
      </c>
      <c r="AM352" s="3">
        <v>5</v>
      </c>
      <c r="AN352" s="29">
        <v>9</v>
      </c>
      <c r="AU352" s="3">
        <v>2000000</v>
      </c>
      <c r="AV352" s="3">
        <v>2602080</v>
      </c>
      <c r="AW352" s="3">
        <v>3500000</v>
      </c>
      <c r="AX352" s="3">
        <v>4553640</v>
      </c>
      <c r="AY352" s="3">
        <v>76.861595377819796</v>
      </c>
      <c r="AZ352" s="3" t="s">
        <v>89</v>
      </c>
      <c r="BA352" s="3" t="s">
        <v>1792</v>
      </c>
      <c r="BC352" s="3" t="s">
        <v>1793</v>
      </c>
      <c r="BD352" s="8">
        <v>0</v>
      </c>
    </row>
    <row r="353" spans="1:56" ht="14.25" customHeight="1" thickBot="1">
      <c r="A353" s="3" t="s">
        <v>1840</v>
      </c>
      <c r="B353" s="3" t="s">
        <v>1491</v>
      </c>
      <c r="C353" s="3" t="s">
        <v>1841</v>
      </c>
      <c r="E353" s="3" t="s">
        <v>71</v>
      </c>
      <c r="F353" s="3">
        <f t="shared" si="2"/>
        <v>2</v>
      </c>
      <c r="G353" s="3" t="s">
        <v>72</v>
      </c>
      <c r="H353" s="3">
        <f t="shared" si="3"/>
        <v>2</v>
      </c>
      <c r="I353" s="3" t="s">
        <v>73</v>
      </c>
      <c r="J353" s="3" t="s">
        <v>74</v>
      </c>
      <c r="M353" s="3" t="s">
        <v>97</v>
      </c>
      <c r="N353" s="3" t="s">
        <v>98</v>
      </c>
      <c r="O353" s="3" t="s">
        <v>78</v>
      </c>
      <c r="P353" s="3" t="s">
        <v>79</v>
      </c>
      <c r="Q353" s="3" t="s">
        <v>1842</v>
      </c>
      <c r="S353" s="18">
        <v>8.1999999999999993</v>
      </c>
      <c r="T353" s="18">
        <v>16.13</v>
      </c>
      <c r="U353" s="18">
        <v>31.16</v>
      </c>
      <c r="AC353" s="3" t="s">
        <v>81</v>
      </c>
      <c r="AD353" s="6">
        <v>40.079659999999997</v>
      </c>
      <c r="AE353" s="6">
        <v>-89.433729</v>
      </c>
      <c r="AH353" s="3">
        <v>2011</v>
      </c>
      <c r="AI353" s="3">
        <v>8</v>
      </c>
      <c r="AJ353" s="8">
        <v>13</v>
      </c>
      <c r="AK353" s="3">
        <v>2011</v>
      </c>
      <c r="AL353" s="3">
        <v>8</v>
      </c>
      <c r="AM353" s="3">
        <v>14</v>
      </c>
      <c r="AN353" s="29">
        <v>7</v>
      </c>
      <c r="AY353" s="3">
        <v>76.861595377819796</v>
      </c>
      <c r="AZ353" s="3" t="s">
        <v>89</v>
      </c>
      <c r="BA353" s="3" t="s">
        <v>1843</v>
      </c>
      <c r="BC353" s="3" t="s">
        <v>1844</v>
      </c>
      <c r="BD353" s="8">
        <v>0</v>
      </c>
    </row>
    <row r="354" spans="1:56" ht="14.25" customHeight="1" thickBot="1">
      <c r="A354" s="3" t="s">
        <v>1845</v>
      </c>
      <c r="B354" s="3" t="s">
        <v>1491</v>
      </c>
      <c r="C354" s="3" t="s">
        <v>1846</v>
      </c>
      <c r="E354" s="3" t="s">
        <v>71</v>
      </c>
      <c r="F354" s="3">
        <f t="shared" si="2"/>
        <v>3</v>
      </c>
      <c r="G354" s="3" t="s">
        <v>119</v>
      </c>
      <c r="H354" s="3">
        <f t="shared" si="3"/>
        <v>3</v>
      </c>
      <c r="I354" s="3" t="s">
        <v>122</v>
      </c>
      <c r="J354" s="3" t="s">
        <v>227</v>
      </c>
      <c r="M354" s="3" t="s">
        <v>97</v>
      </c>
      <c r="N354" s="3" t="s">
        <v>98</v>
      </c>
      <c r="O354" s="3" t="s">
        <v>78</v>
      </c>
      <c r="P354" s="3" t="s">
        <v>79</v>
      </c>
      <c r="Q354" s="3" t="s">
        <v>1847</v>
      </c>
      <c r="R354" s="3" t="s">
        <v>1848</v>
      </c>
      <c r="S354" s="18">
        <v>0</v>
      </c>
      <c r="T354" s="18">
        <v>13.94</v>
      </c>
      <c r="U354" s="18">
        <v>28.34</v>
      </c>
      <c r="AC354" s="3" t="s">
        <v>102</v>
      </c>
      <c r="AD354" s="6">
        <v>34.395339999999997</v>
      </c>
      <c r="AE354" s="6">
        <v>-111.76327499999999</v>
      </c>
      <c r="AH354" s="3">
        <v>2011</v>
      </c>
      <c r="AI354" s="3">
        <v>5</v>
      </c>
      <c r="AJ354" s="8">
        <v>29</v>
      </c>
      <c r="AK354" s="3">
        <v>2011</v>
      </c>
      <c r="AL354" s="3">
        <v>6</v>
      </c>
      <c r="AM354" s="3">
        <v>23</v>
      </c>
      <c r="AN354" s="29">
        <v>2</v>
      </c>
      <c r="AW354" s="3">
        <v>200000</v>
      </c>
      <c r="AX354" s="3">
        <v>260208</v>
      </c>
      <c r="AY354" s="3">
        <v>76.861595377819796</v>
      </c>
      <c r="AZ354" s="3" t="s">
        <v>89</v>
      </c>
      <c r="BA354" s="3" t="s">
        <v>1849</v>
      </c>
      <c r="BC354" s="3" t="s">
        <v>1850</v>
      </c>
      <c r="BD354" s="8">
        <v>0</v>
      </c>
    </row>
    <row r="355" spans="1:56" ht="14.25" customHeight="1" thickBot="1">
      <c r="A355" s="3" t="s">
        <v>1851</v>
      </c>
      <c r="B355" s="3" t="s">
        <v>1491</v>
      </c>
      <c r="C355" s="3" t="s">
        <v>1852</v>
      </c>
      <c r="E355" s="3" t="s">
        <v>71</v>
      </c>
      <c r="F355" s="3">
        <f t="shared" si="2"/>
        <v>3</v>
      </c>
      <c r="G355" s="3" t="s">
        <v>119</v>
      </c>
      <c r="H355" s="3">
        <f t="shared" si="3"/>
        <v>7</v>
      </c>
      <c r="I355" s="3" t="s">
        <v>120</v>
      </c>
      <c r="J355" s="3" t="s">
        <v>120</v>
      </c>
      <c r="M355" s="3" t="s">
        <v>97</v>
      </c>
      <c r="N355" s="3" t="s">
        <v>98</v>
      </c>
      <c r="O355" s="3" t="s">
        <v>78</v>
      </c>
      <c r="P355" s="3" t="s">
        <v>79</v>
      </c>
      <c r="Q355" s="3" t="s">
        <v>1853</v>
      </c>
      <c r="S355" s="18">
        <v>0</v>
      </c>
      <c r="T355" s="18">
        <v>-0.59</v>
      </c>
      <c r="U355" s="18">
        <v>9.41</v>
      </c>
      <c r="AC355" s="3" t="s">
        <v>102</v>
      </c>
      <c r="AD355" s="6">
        <v>31.26389</v>
      </c>
      <c r="AE355" s="6">
        <v>-98.545612000000006</v>
      </c>
      <c r="AH355" s="3">
        <v>2011</v>
      </c>
      <c r="AI355" s="3">
        <v>1</v>
      </c>
      <c r="AJ355" s="8">
        <v>1</v>
      </c>
      <c r="AK355" s="3">
        <v>2011</v>
      </c>
      <c r="AL355" s="3">
        <v>11</v>
      </c>
      <c r="AN355" s="29">
        <v>0</v>
      </c>
      <c r="AU355" s="3">
        <v>1000000</v>
      </c>
      <c r="AV355" s="3">
        <v>1301040</v>
      </c>
      <c r="AW355" s="3">
        <v>8000000</v>
      </c>
      <c r="AX355" s="3">
        <v>10408319</v>
      </c>
      <c r="AY355" s="3">
        <v>76.861595377819796</v>
      </c>
      <c r="AZ355" s="3" t="s">
        <v>89</v>
      </c>
      <c r="BA355" s="3" t="s">
        <v>1854</v>
      </c>
      <c r="BC355" s="3" t="s">
        <v>1855</v>
      </c>
      <c r="BD355" s="8">
        <v>0</v>
      </c>
    </row>
    <row r="356" spans="1:56" ht="14.25" customHeight="1" thickBot="1">
      <c r="A356" s="3" t="s">
        <v>1856</v>
      </c>
      <c r="B356" s="3" t="s">
        <v>1692</v>
      </c>
      <c r="C356" s="3" t="s">
        <v>1857</v>
      </c>
      <c r="D356" s="3" t="s">
        <v>1858</v>
      </c>
      <c r="E356" s="3" t="s">
        <v>71</v>
      </c>
      <c r="F356" s="3">
        <f t="shared" si="2"/>
        <v>2</v>
      </c>
      <c r="G356" s="3" t="s">
        <v>72</v>
      </c>
      <c r="H356" s="3">
        <f t="shared" si="3"/>
        <v>2</v>
      </c>
      <c r="I356" s="3" t="s">
        <v>73</v>
      </c>
      <c r="J356" s="3" t="s">
        <v>212</v>
      </c>
      <c r="L356" s="3" t="s">
        <v>1859</v>
      </c>
      <c r="M356" s="3" t="s">
        <v>97</v>
      </c>
      <c r="N356" s="3" t="s">
        <v>98</v>
      </c>
      <c r="O356" s="3" t="s">
        <v>78</v>
      </c>
      <c r="P356" s="3" t="s">
        <v>79</v>
      </c>
      <c r="Q356" s="3" t="s">
        <v>1860</v>
      </c>
      <c r="S356" s="18">
        <v>0</v>
      </c>
      <c r="T356" s="18">
        <v>12.65</v>
      </c>
      <c r="U356" s="18">
        <v>15.24</v>
      </c>
      <c r="V356" s="3" t="s">
        <v>95</v>
      </c>
      <c r="W356" s="3" t="s">
        <v>1449</v>
      </c>
      <c r="Z356" s="3" t="s">
        <v>264</v>
      </c>
      <c r="AC356" s="3" t="s">
        <v>81</v>
      </c>
      <c r="AD356" s="6">
        <v>40.712730000000001</v>
      </c>
      <c r="AE356" s="6">
        <v>-74.006015000000005</v>
      </c>
      <c r="AH356" s="3">
        <v>2012</v>
      </c>
      <c r="AI356" s="3">
        <v>10</v>
      </c>
      <c r="AJ356" s="8">
        <v>28</v>
      </c>
      <c r="AK356" s="3">
        <v>2012</v>
      </c>
      <c r="AL356" s="3">
        <v>10</v>
      </c>
      <c r="AM356" s="3">
        <v>28</v>
      </c>
      <c r="AN356" s="29">
        <v>54</v>
      </c>
      <c r="AW356" s="3">
        <v>50000000</v>
      </c>
      <c r="AX356" s="3">
        <v>63733146</v>
      </c>
      <c r="AY356" s="3">
        <v>78.452113882900306</v>
      </c>
      <c r="AZ356" s="3" t="s">
        <v>89</v>
      </c>
      <c r="BA356" s="3" t="s">
        <v>1861</v>
      </c>
      <c r="BC356" s="3" t="s">
        <v>1862</v>
      </c>
      <c r="BD356" s="8">
        <v>0</v>
      </c>
    </row>
    <row r="357" spans="1:56" ht="14.25" customHeight="1" thickBot="1">
      <c r="A357" s="3" t="s">
        <v>1863</v>
      </c>
      <c r="B357" s="3" t="s">
        <v>1692</v>
      </c>
      <c r="C357" s="3" t="s">
        <v>1864</v>
      </c>
      <c r="E357" s="3" t="s">
        <v>71</v>
      </c>
      <c r="F357" s="3">
        <f t="shared" si="2"/>
        <v>3</v>
      </c>
      <c r="G357" s="3" t="s">
        <v>119</v>
      </c>
      <c r="H357" s="3">
        <f t="shared" si="3"/>
        <v>7</v>
      </c>
      <c r="I357" s="3" t="s">
        <v>120</v>
      </c>
      <c r="J357" s="3" t="s">
        <v>120</v>
      </c>
      <c r="M357" s="3" t="s">
        <v>97</v>
      </c>
      <c r="N357" s="3" t="s">
        <v>98</v>
      </c>
      <c r="O357" s="3" t="s">
        <v>78</v>
      </c>
      <c r="P357" s="3" t="s">
        <v>79</v>
      </c>
      <c r="Q357" s="3" t="s">
        <v>450</v>
      </c>
      <c r="S357" s="18">
        <v>0</v>
      </c>
      <c r="T357" s="18">
        <v>8.68</v>
      </c>
      <c r="U357" s="18">
        <v>19.54</v>
      </c>
      <c r="V357" s="3" t="s">
        <v>220</v>
      </c>
      <c r="AC357" s="3" t="s">
        <v>102</v>
      </c>
      <c r="AD357" s="6">
        <v>40.079659999999997</v>
      </c>
      <c r="AE357" s="6">
        <v>-89.433729</v>
      </c>
      <c r="AH357" s="3">
        <v>2012</v>
      </c>
      <c r="AI357" s="3">
        <v>6</v>
      </c>
      <c r="AJ357" s="8">
        <v>1</v>
      </c>
      <c r="AK357" s="3">
        <v>2012</v>
      </c>
      <c r="AN357" s="29">
        <v>0</v>
      </c>
      <c r="AY357" s="3">
        <v>78.452113882900306</v>
      </c>
      <c r="AZ357" s="3" t="s">
        <v>89</v>
      </c>
      <c r="BA357" s="3" t="s">
        <v>451</v>
      </c>
      <c r="BC357" s="3" t="s">
        <v>452</v>
      </c>
      <c r="BD357" s="8">
        <v>0</v>
      </c>
    </row>
    <row r="358" spans="1:56" ht="14.25" customHeight="1" thickBot="1">
      <c r="A358" s="3" t="s">
        <v>1865</v>
      </c>
      <c r="B358" s="3" t="s">
        <v>1692</v>
      </c>
      <c r="C358" s="3" t="s">
        <v>1866</v>
      </c>
      <c r="E358" s="3" t="s">
        <v>71</v>
      </c>
      <c r="F358" s="3">
        <f t="shared" si="2"/>
        <v>3</v>
      </c>
      <c r="G358" s="3" t="s">
        <v>119</v>
      </c>
      <c r="H358" s="3">
        <f t="shared" si="3"/>
        <v>7</v>
      </c>
      <c r="I358" s="3" t="s">
        <v>120</v>
      </c>
      <c r="J358" s="3" t="s">
        <v>120</v>
      </c>
      <c r="M358" s="3" t="s">
        <v>97</v>
      </c>
      <c r="N358" s="3" t="s">
        <v>98</v>
      </c>
      <c r="O358" s="3" t="s">
        <v>78</v>
      </c>
      <c r="P358" s="3" t="s">
        <v>79</v>
      </c>
      <c r="Q358" s="3" t="s">
        <v>1867</v>
      </c>
      <c r="R358" s="3" t="s">
        <v>1868</v>
      </c>
      <c r="S358" s="18">
        <v>0</v>
      </c>
      <c r="T358" s="16">
        <v>8.68</v>
      </c>
      <c r="U358" s="16">
        <v>19.54</v>
      </c>
      <c r="V358" s="3" t="s">
        <v>220</v>
      </c>
      <c r="Z358" s="3" t="s">
        <v>264</v>
      </c>
      <c r="AC358" s="3" t="s">
        <v>102</v>
      </c>
      <c r="AD358" s="6">
        <v>40.079659999999997</v>
      </c>
      <c r="AE358" s="6">
        <v>-89.433729</v>
      </c>
      <c r="AH358" s="3">
        <v>2012</v>
      </c>
      <c r="AI358" s="3">
        <v>6</v>
      </c>
      <c r="AJ358" s="8">
        <v>1</v>
      </c>
      <c r="AK358" s="3">
        <v>2012</v>
      </c>
      <c r="AL358" s="3">
        <v>12</v>
      </c>
      <c r="AN358" s="29">
        <v>0</v>
      </c>
      <c r="AU358" s="3">
        <v>16000000</v>
      </c>
      <c r="AV358" s="3">
        <v>20394607</v>
      </c>
      <c r="AW358" s="3">
        <v>20000000</v>
      </c>
      <c r="AX358" s="3">
        <v>25493258</v>
      </c>
      <c r="AY358" s="3">
        <v>78.452113882900306</v>
      </c>
      <c r="AZ358" s="3" t="s">
        <v>89</v>
      </c>
      <c r="BA358" s="3" t="s">
        <v>1869</v>
      </c>
      <c r="BC358" s="3" t="s">
        <v>1870</v>
      </c>
      <c r="BD358" s="8">
        <v>0</v>
      </c>
    </row>
    <row r="359" spans="1:56" ht="14.25" customHeight="1" thickBot="1">
      <c r="A359" s="3" t="s">
        <v>1871</v>
      </c>
      <c r="B359" s="3" t="s">
        <v>1692</v>
      </c>
      <c r="C359" s="3" t="s">
        <v>1730</v>
      </c>
      <c r="E359" s="3" t="s">
        <v>71</v>
      </c>
      <c r="F359" s="3">
        <f t="shared" si="2"/>
        <v>2</v>
      </c>
      <c r="G359" s="3" t="s">
        <v>72</v>
      </c>
      <c r="H359" s="3">
        <f t="shared" si="3"/>
        <v>2</v>
      </c>
      <c r="I359" s="3" t="s">
        <v>73</v>
      </c>
      <c r="J359" s="3" t="s">
        <v>212</v>
      </c>
      <c r="L359" s="3" t="s">
        <v>1731</v>
      </c>
      <c r="M359" s="3" t="s">
        <v>97</v>
      </c>
      <c r="N359" s="3" t="s">
        <v>98</v>
      </c>
      <c r="O359" s="3" t="s">
        <v>78</v>
      </c>
      <c r="P359" s="3" t="s">
        <v>79</v>
      </c>
      <c r="Q359" s="3" t="s">
        <v>1872</v>
      </c>
      <c r="S359" s="18">
        <v>97.83</v>
      </c>
      <c r="T359" s="18">
        <v>23.08</v>
      </c>
      <c r="U359" s="18">
        <v>29.71</v>
      </c>
      <c r="V359" s="3" t="s">
        <v>95</v>
      </c>
      <c r="Z359" s="3" t="s">
        <v>264</v>
      </c>
      <c r="AB359" s="3">
        <v>83938</v>
      </c>
      <c r="AC359" s="3" t="s">
        <v>81</v>
      </c>
      <c r="AD359" s="8">
        <v>30.503</v>
      </c>
      <c r="AE359" s="8">
        <v>-89.35</v>
      </c>
      <c r="AH359" s="3">
        <v>2012</v>
      </c>
      <c r="AI359" s="3">
        <v>8</v>
      </c>
      <c r="AJ359" s="8">
        <v>28</v>
      </c>
      <c r="AK359" s="3">
        <v>2012</v>
      </c>
      <c r="AL359" s="3">
        <v>8</v>
      </c>
      <c r="AM359" s="3">
        <v>29</v>
      </c>
      <c r="AN359" s="29">
        <v>1</v>
      </c>
      <c r="AP359" s="3">
        <v>60000</v>
      </c>
      <c r="AR359" s="3">
        <v>60000</v>
      </c>
      <c r="AW359" s="3">
        <v>2000000</v>
      </c>
      <c r="AX359" s="3">
        <v>2549326</v>
      </c>
      <c r="AY359" s="3">
        <v>78.452113882900306</v>
      </c>
      <c r="AZ359" s="3" t="s">
        <v>89</v>
      </c>
      <c r="BA359" s="3" t="s">
        <v>1873</v>
      </c>
      <c r="BC359" s="3" t="s">
        <v>1874</v>
      </c>
      <c r="BD359" s="8">
        <v>5</v>
      </c>
    </row>
    <row r="360" spans="1:56" ht="14.25" customHeight="1" thickBot="1">
      <c r="A360" s="3" t="s">
        <v>1875</v>
      </c>
      <c r="B360" s="3" t="s">
        <v>1692</v>
      </c>
      <c r="C360" s="3" t="s">
        <v>1876</v>
      </c>
      <c r="E360" s="3" t="s">
        <v>71</v>
      </c>
      <c r="F360" s="3">
        <f t="shared" si="2"/>
        <v>2</v>
      </c>
      <c r="G360" s="3" t="s">
        <v>72</v>
      </c>
      <c r="H360" s="3">
        <f t="shared" si="3"/>
        <v>2</v>
      </c>
      <c r="I360" s="3" t="s">
        <v>73</v>
      </c>
      <c r="J360" s="3" t="s">
        <v>74</v>
      </c>
      <c r="K360" s="3" t="s">
        <v>127</v>
      </c>
      <c r="M360" s="3" t="s">
        <v>97</v>
      </c>
      <c r="N360" s="3" t="s">
        <v>98</v>
      </c>
      <c r="O360" s="3" t="s">
        <v>78</v>
      </c>
      <c r="P360" s="3" t="s">
        <v>79</v>
      </c>
      <c r="Q360" s="3" t="s">
        <v>1877</v>
      </c>
      <c r="S360" s="18">
        <v>7.17</v>
      </c>
      <c r="T360" s="18">
        <v>-6.24</v>
      </c>
      <c r="U360" s="18">
        <v>0.09</v>
      </c>
      <c r="AB360" s="3">
        <v>100</v>
      </c>
      <c r="AC360" s="3" t="s">
        <v>81</v>
      </c>
      <c r="AD360" s="6">
        <v>44.430900000000001</v>
      </c>
      <c r="AE360" s="6">
        <v>-89.688463999999996</v>
      </c>
      <c r="AH360" s="3">
        <v>2012</v>
      </c>
      <c r="AI360" s="3">
        <v>12</v>
      </c>
      <c r="AJ360" s="8">
        <v>19</v>
      </c>
      <c r="AK360" s="3">
        <v>2012</v>
      </c>
      <c r="AL360" s="3">
        <v>12</v>
      </c>
      <c r="AM360" s="3">
        <v>21</v>
      </c>
      <c r="AN360" s="29">
        <v>7</v>
      </c>
      <c r="AW360" s="3">
        <v>2000</v>
      </c>
      <c r="AX360" s="3">
        <v>2549</v>
      </c>
      <c r="AY360" s="3">
        <v>78.452113882900306</v>
      </c>
      <c r="AZ360" s="3" t="s">
        <v>89</v>
      </c>
      <c r="BA360" s="3" t="s">
        <v>1878</v>
      </c>
      <c r="BC360" s="3" t="s">
        <v>1879</v>
      </c>
      <c r="BD360" s="8">
        <v>0</v>
      </c>
    </row>
    <row r="361" spans="1:56" ht="14.25" customHeight="1" thickBot="1">
      <c r="A361" s="3" t="s">
        <v>1880</v>
      </c>
      <c r="B361" s="3" t="s">
        <v>1692</v>
      </c>
      <c r="C361" s="3" t="s">
        <v>1693</v>
      </c>
      <c r="E361" s="3" t="s">
        <v>71</v>
      </c>
      <c r="F361" s="3">
        <f t="shared" si="2"/>
        <v>2</v>
      </c>
      <c r="G361" s="3" t="s">
        <v>72</v>
      </c>
      <c r="H361" s="3">
        <f t="shared" si="3"/>
        <v>2</v>
      </c>
      <c r="I361" s="3" t="s">
        <v>73</v>
      </c>
      <c r="J361" s="3" t="s">
        <v>74</v>
      </c>
      <c r="K361" s="3" t="s">
        <v>127</v>
      </c>
      <c r="M361" s="3" t="s">
        <v>97</v>
      </c>
      <c r="N361" s="3" t="s">
        <v>98</v>
      </c>
      <c r="O361" s="3" t="s">
        <v>78</v>
      </c>
      <c r="P361" s="3" t="s">
        <v>79</v>
      </c>
      <c r="Q361" s="3" t="s">
        <v>1881</v>
      </c>
      <c r="S361" s="18">
        <v>0</v>
      </c>
      <c r="T361" s="18">
        <v>-0.39</v>
      </c>
      <c r="U361" s="18">
        <v>10.61</v>
      </c>
      <c r="AC361" s="3" t="s">
        <v>81</v>
      </c>
      <c r="AD361" s="6">
        <v>31.26389</v>
      </c>
      <c r="AE361" s="6">
        <v>-98.545612000000006</v>
      </c>
      <c r="AH361" s="3">
        <v>2012</v>
      </c>
      <c r="AI361" s="3">
        <v>12</v>
      </c>
      <c r="AJ361" s="8">
        <v>25</v>
      </c>
      <c r="AK361" s="3">
        <v>2012</v>
      </c>
      <c r="AL361" s="3">
        <v>12</v>
      </c>
      <c r="AM361" s="3">
        <v>27</v>
      </c>
      <c r="AN361" s="29">
        <v>17</v>
      </c>
      <c r="AU361" s="3">
        <v>50000</v>
      </c>
      <c r="AV361" s="3">
        <v>63733</v>
      </c>
      <c r="AW361" s="3">
        <v>100000</v>
      </c>
      <c r="AX361" s="3">
        <v>127466</v>
      </c>
      <c r="AY361" s="3">
        <v>78.452113882900306</v>
      </c>
      <c r="AZ361" s="3" t="s">
        <v>89</v>
      </c>
      <c r="BA361" s="3" t="s">
        <v>1882</v>
      </c>
      <c r="BC361" s="3" t="s">
        <v>1883</v>
      </c>
      <c r="BD361" s="8">
        <v>0</v>
      </c>
    </row>
    <row r="362" spans="1:56" ht="14.25" customHeight="1" thickBot="1">
      <c r="A362" s="3" t="s">
        <v>1884</v>
      </c>
      <c r="B362" s="3" t="s">
        <v>1692</v>
      </c>
      <c r="C362" s="3" t="s">
        <v>1841</v>
      </c>
      <c r="E362" s="3" t="s">
        <v>71</v>
      </c>
      <c r="F362" s="3">
        <f t="shared" si="2"/>
        <v>2</v>
      </c>
      <c r="G362" s="3" t="s">
        <v>72</v>
      </c>
      <c r="H362" s="3">
        <f t="shared" si="3"/>
        <v>2</v>
      </c>
      <c r="I362" s="3" t="s">
        <v>73</v>
      </c>
      <c r="J362" s="3" t="s">
        <v>74</v>
      </c>
      <c r="K362" s="3" t="s">
        <v>127</v>
      </c>
      <c r="M362" s="3" t="s">
        <v>97</v>
      </c>
      <c r="N362" s="3" t="s">
        <v>98</v>
      </c>
      <c r="O362" s="3" t="s">
        <v>78</v>
      </c>
      <c r="P362" s="3" t="s">
        <v>79</v>
      </c>
      <c r="Q362" s="3" t="s">
        <v>1193</v>
      </c>
      <c r="S362" s="18">
        <v>18.260000000000002</v>
      </c>
      <c r="T362" s="18">
        <v>-3.84</v>
      </c>
      <c r="U362" s="18">
        <v>3.29</v>
      </c>
      <c r="AC362" s="3" t="s">
        <v>81</v>
      </c>
      <c r="AD362" s="6">
        <v>43.979280000000003</v>
      </c>
      <c r="AE362" s="6">
        <v>-120.737257</v>
      </c>
      <c r="AH362" s="3">
        <v>2012</v>
      </c>
      <c r="AI362" s="3">
        <v>1</v>
      </c>
      <c r="AJ362" s="8">
        <v>18</v>
      </c>
      <c r="AK362" s="3">
        <v>2012</v>
      </c>
      <c r="AL362" s="3">
        <v>1</v>
      </c>
      <c r="AM362" s="3">
        <v>23</v>
      </c>
      <c r="AN362" s="29">
        <v>3</v>
      </c>
      <c r="AO362" s="3">
        <v>1</v>
      </c>
      <c r="AR362" s="3">
        <v>1</v>
      </c>
      <c r="AW362" s="3">
        <v>100000</v>
      </c>
      <c r="AX362" s="3">
        <v>127466</v>
      </c>
      <c r="AY362" s="3">
        <v>78.452113882900306</v>
      </c>
      <c r="AZ362" s="3" t="s">
        <v>89</v>
      </c>
      <c r="BA362" s="3" t="s">
        <v>1164</v>
      </c>
      <c r="BC362" s="3" t="s">
        <v>1165</v>
      </c>
      <c r="BD362" s="8">
        <v>1</v>
      </c>
    </row>
    <row r="363" spans="1:56" ht="14.25" customHeight="1" thickBot="1">
      <c r="A363" s="3" t="s">
        <v>1885</v>
      </c>
      <c r="B363" s="3" t="s">
        <v>1692</v>
      </c>
      <c r="C363" s="3" t="s">
        <v>1886</v>
      </c>
      <c r="E363" s="3" t="s">
        <v>71</v>
      </c>
      <c r="F363" s="3">
        <f t="shared" si="2"/>
        <v>2</v>
      </c>
      <c r="G363" s="3" t="s">
        <v>72</v>
      </c>
      <c r="H363" s="3">
        <f t="shared" si="3"/>
        <v>2</v>
      </c>
      <c r="I363" s="3" t="s">
        <v>73</v>
      </c>
      <c r="J363" s="3" t="s">
        <v>74</v>
      </c>
      <c r="K363" s="3" t="s">
        <v>169</v>
      </c>
      <c r="M363" s="3" t="s">
        <v>97</v>
      </c>
      <c r="N363" s="3" t="s">
        <v>98</v>
      </c>
      <c r="O363" s="3" t="s">
        <v>78</v>
      </c>
      <c r="P363" s="3" t="s">
        <v>79</v>
      </c>
      <c r="Q363" s="3" t="s">
        <v>1887</v>
      </c>
      <c r="S363" s="18">
        <v>0</v>
      </c>
      <c r="T363" s="18">
        <v>14.65</v>
      </c>
      <c r="U363" s="18">
        <v>36.81</v>
      </c>
      <c r="AB363" s="3">
        <v>146</v>
      </c>
      <c r="AC363" s="3" t="s">
        <v>81</v>
      </c>
      <c r="AD363" s="6">
        <v>40.225360000000002</v>
      </c>
      <c r="AE363" s="6">
        <v>-82.688140000000004</v>
      </c>
      <c r="AH363" s="3">
        <v>2012</v>
      </c>
      <c r="AI363" s="3">
        <v>6</v>
      </c>
      <c r="AJ363" s="8">
        <v>28</v>
      </c>
      <c r="AK363" s="3">
        <v>2012</v>
      </c>
      <c r="AL363" s="3">
        <v>7</v>
      </c>
      <c r="AM363" s="3">
        <v>2</v>
      </c>
      <c r="AN363" s="29">
        <v>28</v>
      </c>
      <c r="AU363" s="3">
        <v>2000000</v>
      </c>
      <c r="AV363" s="3">
        <v>2549326</v>
      </c>
      <c r="AW363" s="3">
        <v>4000000</v>
      </c>
      <c r="AX363" s="3">
        <v>5098652</v>
      </c>
      <c r="AY363" s="3">
        <v>78.452113882900306</v>
      </c>
      <c r="AZ363" s="3" t="s">
        <v>89</v>
      </c>
      <c r="BA363" s="3" t="s">
        <v>1888</v>
      </c>
      <c r="BC363" s="3" t="s">
        <v>1889</v>
      </c>
      <c r="BD363" s="8">
        <v>0</v>
      </c>
    </row>
    <row r="364" spans="1:56" ht="14.25" customHeight="1" thickBot="1">
      <c r="A364" s="3" t="s">
        <v>1890</v>
      </c>
      <c r="B364" s="3" t="s">
        <v>1692</v>
      </c>
      <c r="C364" s="3" t="s">
        <v>414</v>
      </c>
      <c r="E364" s="3" t="s">
        <v>71</v>
      </c>
      <c r="F364" s="3">
        <f t="shared" si="2"/>
        <v>2</v>
      </c>
      <c r="G364" s="3" t="s">
        <v>72</v>
      </c>
      <c r="H364" s="3">
        <f t="shared" si="3"/>
        <v>2</v>
      </c>
      <c r="I364" s="3" t="s">
        <v>73</v>
      </c>
      <c r="J364" s="3" t="s">
        <v>74</v>
      </c>
      <c r="K364" s="3" t="s">
        <v>169</v>
      </c>
      <c r="M364" s="3" t="s">
        <v>97</v>
      </c>
      <c r="N364" s="3" t="s">
        <v>98</v>
      </c>
      <c r="O364" s="3" t="s">
        <v>78</v>
      </c>
      <c r="P364" s="3" t="s">
        <v>79</v>
      </c>
      <c r="Q364" s="3" t="s">
        <v>1891</v>
      </c>
      <c r="S364" s="18">
        <v>20.36</v>
      </c>
      <c r="T364" s="18">
        <v>10.85</v>
      </c>
      <c r="U364" s="18">
        <v>22.89</v>
      </c>
      <c r="AC364" s="3" t="s">
        <v>81</v>
      </c>
      <c r="AD364" s="6">
        <v>38.760480000000001</v>
      </c>
      <c r="AE364" s="6">
        <v>-92.561786999999995</v>
      </c>
      <c r="AH364" s="3">
        <v>2012</v>
      </c>
      <c r="AI364" s="3">
        <v>4</v>
      </c>
      <c r="AJ364" s="8">
        <v>28</v>
      </c>
      <c r="AK364" s="3">
        <v>2012</v>
      </c>
      <c r="AL364" s="3">
        <v>4</v>
      </c>
      <c r="AM364" s="3">
        <v>29</v>
      </c>
      <c r="AN364" s="29">
        <v>1</v>
      </c>
      <c r="AO364" s="3">
        <v>100</v>
      </c>
      <c r="AR364" s="3">
        <v>100</v>
      </c>
      <c r="AU364" s="3">
        <v>2000000</v>
      </c>
      <c r="AV364" s="3">
        <v>2549326</v>
      </c>
      <c r="AW364" s="3">
        <v>4500000</v>
      </c>
      <c r="AX364" s="3">
        <v>5735983</v>
      </c>
      <c r="AY364" s="3">
        <v>78.452113882900306</v>
      </c>
      <c r="AZ364" s="3" t="s">
        <v>89</v>
      </c>
      <c r="BA364" s="3" t="s">
        <v>1892</v>
      </c>
      <c r="BC364" s="3" t="s">
        <v>1893</v>
      </c>
      <c r="BD364" s="8">
        <v>3</v>
      </c>
    </row>
    <row r="365" spans="1:56" ht="14.25" customHeight="1" thickBot="1">
      <c r="A365" s="3" t="s">
        <v>1894</v>
      </c>
      <c r="B365" s="3" t="s">
        <v>1692</v>
      </c>
      <c r="C365" s="3" t="s">
        <v>1895</v>
      </c>
      <c r="E365" s="3" t="s">
        <v>71</v>
      </c>
      <c r="F365" s="3">
        <f t="shared" si="2"/>
        <v>1</v>
      </c>
      <c r="G365" s="3" t="s">
        <v>94</v>
      </c>
      <c r="H365" s="3">
        <f t="shared" si="3"/>
        <v>1</v>
      </c>
      <c r="I365" s="3" t="s">
        <v>95</v>
      </c>
      <c r="J365" s="3" t="s">
        <v>96</v>
      </c>
      <c r="M365" s="3" t="s">
        <v>97</v>
      </c>
      <c r="N365" s="3" t="s">
        <v>98</v>
      </c>
      <c r="O365" s="3" t="s">
        <v>78</v>
      </c>
      <c r="P365" s="3" t="s">
        <v>79</v>
      </c>
      <c r="Q365" s="3" t="s">
        <v>1896</v>
      </c>
      <c r="R365" s="3" t="s">
        <v>1897</v>
      </c>
      <c r="S365" s="18">
        <v>14.58</v>
      </c>
      <c r="T365" s="18">
        <v>22.5</v>
      </c>
      <c r="U365" s="18">
        <v>28.73</v>
      </c>
      <c r="AB365" s="3">
        <v>20116</v>
      </c>
      <c r="AC365" s="3" t="s">
        <v>102</v>
      </c>
      <c r="AD365" s="21">
        <v>29.946852</v>
      </c>
      <c r="AE365" s="22">
        <v>-90.071858000000006</v>
      </c>
      <c r="AH365" s="3">
        <v>2012</v>
      </c>
      <c r="AI365" s="3">
        <v>6</v>
      </c>
      <c r="AJ365" s="8">
        <v>9</v>
      </c>
      <c r="AK365" s="3">
        <v>2012</v>
      </c>
      <c r="AL365" s="3">
        <v>6</v>
      </c>
      <c r="AM365" s="3">
        <v>12</v>
      </c>
      <c r="AN365" s="29">
        <v>2</v>
      </c>
      <c r="AP365" s="3">
        <v>300</v>
      </c>
      <c r="AR365" s="3">
        <v>300</v>
      </c>
      <c r="AW365" s="3">
        <v>174000</v>
      </c>
      <c r="AX365" s="3">
        <v>221791</v>
      </c>
      <c r="AY365" s="3">
        <v>78.452113882900306</v>
      </c>
      <c r="AZ365" s="3" t="s">
        <v>206</v>
      </c>
      <c r="BA365" s="3" t="s">
        <v>1898</v>
      </c>
      <c r="BB365" s="3" t="s">
        <v>872</v>
      </c>
      <c r="BC365" s="3" t="s">
        <v>1899</v>
      </c>
      <c r="BD365" s="8">
        <v>3</v>
      </c>
    </row>
    <row r="366" spans="1:56" ht="14.25" customHeight="1" thickBot="1">
      <c r="A366" s="3" t="s">
        <v>1900</v>
      </c>
      <c r="B366" s="3" t="s">
        <v>1692</v>
      </c>
      <c r="C366" s="3" t="s">
        <v>1901</v>
      </c>
      <c r="E366" s="3" t="s">
        <v>71</v>
      </c>
      <c r="F366" s="3">
        <f t="shared" si="2"/>
        <v>2</v>
      </c>
      <c r="G366" s="3" t="s">
        <v>72</v>
      </c>
      <c r="H366" s="3">
        <f t="shared" si="3"/>
        <v>2</v>
      </c>
      <c r="I366" s="3" t="s">
        <v>73</v>
      </c>
      <c r="J366" s="3" t="s">
        <v>212</v>
      </c>
      <c r="L366" s="3" t="s">
        <v>1902</v>
      </c>
      <c r="M366" s="3" t="s">
        <v>97</v>
      </c>
      <c r="N366" s="3" t="s">
        <v>98</v>
      </c>
      <c r="O366" s="3" t="s">
        <v>78</v>
      </c>
      <c r="P366" s="3" t="s">
        <v>79</v>
      </c>
      <c r="Q366" s="3" t="s">
        <v>1903</v>
      </c>
      <c r="S366" s="16">
        <v>0</v>
      </c>
      <c r="T366" s="18">
        <v>23.55</v>
      </c>
      <c r="U366" s="18">
        <v>32.28</v>
      </c>
      <c r="AB366" s="3">
        <v>67994</v>
      </c>
      <c r="AC366" s="3" t="s">
        <v>81</v>
      </c>
      <c r="AD366" s="21">
        <v>29.946852</v>
      </c>
      <c r="AE366" s="22">
        <v>-90.071858000000006</v>
      </c>
      <c r="AH366" s="3">
        <v>2012</v>
      </c>
      <c r="AI366" s="3">
        <v>6</v>
      </c>
      <c r="AJ366" s="8">
        <v>22</v>
      </c>
      <c r="AK366" s="3">
        <v>2012</v>
      </c>
      <c r="AL366" s="3">
        <v>6</v>
      </c>
      <c r="AM366" s="3">
        <v>27</v>
      </c>
      <c r="AN366" s="29">
        <v>9</v>
      </c>
      <c r="AO366" s="3">
        <v>1</v>
      </c>
      <c r="AP366" s="3">
        <v>17000</v>
      </c>
      <c r="AR366" s="3">
        <v>17001</v>
      </c>
      <c r="AU366" s="3">
        <v>200000</v>
      </c>
      <c r="AV366" s="3">
        <v>254933</v>
      </c>
      <c r="AW366" s="3">
        <v>210000</v>
      </c>
      <c r="AX366" s="3">
        <v>267679</v>
      </c>
      <c r="AY366" s="3">
        <v>78.452113882900306</v>
      </c>
      <c r="AZ366" s="3" t="s">
        <v>82</v>
      </c>
      <c r="BB366" s="3" t="s">
        <v>1904</v>
      </c>
      <c r="BC366" s="3" t="s">
        <v>1905</v>
      </c>
      <c r="BD366" s="8">
        <v>5</v>
      </c>
    </row>
    <row r="367" spans="1:56" ht="14.25" customHeight="1" thickBot="1">
      <c r="A367" s="3" t="s">
        <v>1906</v>
      </c>
      <c r="B367" s="3" t="s">
        <v>1692</v>
      </c>
      <c r="C367" s="3" t="s">
        <v>1907</v>
      </c>
      <c r="E367" s="3" t="s">
        <v>71</v>
      </c>
      <c r="F367" s="3">
        <f t="shared" si="2"/>
        <v>2</v>
      </c>
      <c r="G367" s="3" t="s">
        <v>72</v>
      </c>
      <c r="H367" s="3">
        <f t="shared" si="3"/>
        <v>4</v>
      </c>
      <c r="I367" s="3" t="s">
        <v>219</v>
      </c>
      <c r="J367" s="3" t="s">
        <v>220</v>
      </c>
      <c r="M367" s="3" t="s">
        <v>97</v>
      </c>
      <c r="N367" s="3" t="s">
        <v>98</v>
      </c>
      <c r="O367" s="3" t="s">
        <v>78</v>
      </c>
      <c r="P367" s="3" t="s">
        <v>79</v>
      </c>
      <c r="Q367" s="3" t="s">
        <v>1908</v>
      </c>
      <c r="S367" s="18">
        <v>0</v>
      </c>
      <c r="T367" s="18">
        <v>21.23</v>
      </c>
      <c r="U367" s="18">
        <v>35.03</v>
      </c>
      <c r="AB367" s="3">
        <v>40</v>
      </c>
      <c r="AC367" s="3" t="s">
        <v>222</v>
      </c>
      <c r="AD367" s="6">
        <v>38.89385</v>
      </c>
      <c r="AE367" s="6">
        <v>-76.988043000000005</v>
      </c>
      <c r="AH367" s="3">
        <v>2012</v>
      </c>
      <c r="AI367" s="3">
        <v>6</v>
      </c>
      <c r="AJ367" s="8">
        <v>30</v>
      </c>
      <c r="AK367" s="3">
        <v>2012</v>
      </c>
      <c r="AL367" s="3">
        <v>7</v>
      </c>
      <c r="AM367" s="3">
        <v>19</v>
      </c>
      <c r="AN367" s="29">
        <v>123</v>
      </c>
      <c r="AY367" s="3">
        <v>78.452113882900306</v>
      </c>
      <c r="AZ367" s="3" t="s">
        <v>89</v>
      </c>
      <c r="BA367" s="3" t="s">
        <v>1909</v>
      </c>
      <c r="BC367" s="3" t="s">
        <v>1910</v>
      </c>
      <c r="BD367" s="8">
        <v>0</v>
      </c>
    </row>
    <row r="368" spans="1:56" ht="14.25" customHeight="1" thickBot="1">
      <c r="A368" s="3" t="s">
        <v>1911</v>
      </c>
      <c r="B368" s="3" t="s">
        <v>1692</v>
      </c>
      <c r="C368" s="3" t="s">
        <v>184</v>
      </c>
      <c r="E368" s="3" t="s">
        <v>71</v>
      </c>
      <c r="F368" s="3">
        <f t="shared" si="2"/>
        <v>3</v>
      </c>
      <c r="G368" s="3" t="s">
        <v>119</v>
      </c>
      <c r="H368" s="3">
        <f t="shared" si="3"/>
        <v>3</v>
      </c>
      <c r="I368" s="3" t="s">
        <v>122</v>
      </c>
      <c r="L368" s="3" t="s">
        <v>1912</v>
      </c>
      <c r="M368" s="3" t="s">
        <v>97</v>
      </c>
      <c r="N368" s="3" t="s">
        <v>98</v>
      </c>
      <c r="O368" s="3" t="s">
        <v>78</v>
      </c>
      <c r="P368" s="3" t="s">
        <v>79</v>
      </c>
      <c r="Q368" s="3" t="s">
        <v>1913</v>
      </c>
      <c r="S368" s="18">
        <v>0</v>
      </c>
      <c r="T368" s="18">
        <v>14.94</v>
      </c>
      <c r="U368" s="18">
        <v>37.47</v>
      </c>
      <c r="Z368" s="3" t="s">
        <v>264</v>
      </c>
      <c r="AC368" s="3" t="s">
        <v>102</v>
      </c>
      <c r="AD368" s="6">
        <v>38.847619999999999</v>
      </c>
      <c r="AE368" s="6">
        <v>-104.861075</v>
      </c>
      <c r="AH368" s="3">
        <v>2012</v>
      </c>
      <c r="AI368" s="3">
        <v>6</v>
      </c>
      <c r="AJ368" s="8">
        <v>23</v>
      </c>
      <c r="AK368" s="3">
        <v>2012</v>
      </c>
      <c r="AL368" s="3">
        <v>7</v>
      </c>
      <c r="AM368" s="3">
        <v>10</v>
      </c>
      <c r="AN368" s="29">
        <v>2</v>
      </c>
      <c r="AQ368" s="3">
        <v>1038</v>
      </c>
      <c r="AR368" s="3">
        <v>1038</v>
      </c>
      <c r="AU368" s="3">
        <v>450000</v>
      </c>
      <c r="AV368" s="3">
        <v>573598</v>
      </c>
      <c r="AW368" s="3">
        <v>600000</v>
      </c>
      <c r="AX368" s="3">
        <v>764798</v>
      </c>
      <c r="AY368" s="3">
        <v>78.452113882900306</v>
      </c>
      <c r="AZ368" s="3" t="s">
        <v>82</v>
      </c>
      <c r="BB368" s="3" t="s">
        <v>1914</v>
      </c>
      <c r="BC368" s="3" t="s">
        <v>1146</v>
      </c>
      <c r="BD368" s="8">
        <v>4</v>
      </c>
    </row>
    <row r="369" spans="1:56" ht="14.25" customHeight="1" thickBot="1">
      <c r="A369" s="3" t="s">
        <v>1915</v>
      </c>
      <c r="B369" s="3" t="s">
        <v>1692</v>
      </c>
      <c r="C369" s="3" t="s">
        <v>1916</v>
      </c>
      <c r="E369" s="3" t="s">
        <v>71</v>
      </c>
      <c r="F369" s="3">
        <f t="shared" si="2"/>
        <v>3</v>
      </c>
      <c r="G369" s="3" t="s">
        <v>119</v>
      </c>
      <c r="H369" s="3">
        <f t="shared" si="3"/>
        <v>3</v>
      </c>
      <c r="I369" s="3" t="s">
        <v>122</v>
      </c>
      <c r="M369" s="3" t="s">
        <v>97</v>
      </c>
      <c r="N369" s="3" t="s">
        <v>98</v>
      </c>
      <c r="O369" s="3" t="s">
        <v>78</v>
      </c>
      <c r="P369" s="3" t="s">
        <v>79</v>
      </c>
      <c r="Q369" s="3" t="s">
        <v>1917</v>
      </c>
      <c r="S369" s="18">
        <v>0</v>
      </c>
      <c r="T369" s="18">
        <v>19.239999999999998</v>
      </c>
      <c r="U369" s="18">
        <v>33.82</v>
      </c>
      <c r="AC369" s="3" t="s">
        <v>102</v>
      </c>
      <c r="AD369" s="6">
        <v>41.499659999999999</v>
      </c>
      <c r="AE369" s="6">
        <v>-81.693676999999994</v>
      </c>
      <c r="AH369" s="3">
        <v>2012</v>
      </c>
      <c r="AI369" s="3">
        <v>8</v>
      </c>
      <c r="AJ369" s="8">
        <v>3</v>
      </c>
      <c r="AK369" s="3">
        <v>2012</v>
      </c>
      <c r="AL369" s="3">
        <v>8</v>
      </c>
      <c r="AM369" s="3">
        <v>8</v>
      </c>
      <c r="AN369" s="29">
        <v>1</v>
      </c>
      <c r="AP369" s="3">
        <v>1809</v>
      </c>
      <c r="AR369" s="3">
        <v>1809</v>
      </c>
      <c r="AW369" s="3">
        <v>200000</v>
      </c>
      <c r="AX369" s="3">
        <v>254933</v>
      </c>
      <c r="AY369" s="3">
        <v>78.452113882900306</v>
      </c>
      <c r="AZ369" s="3" t="s">
        <v>82</v>
      </c>
      <c r="BB369" s="3" t="s">
        <v>1918</v>
      </c>
      <c r="BC369" s="3" t="s">
        <v>1919</v>
      </c>
      <c r="BD369" s="8">
        <v>4</v>
      </c>
    </row>
    <row r="370" spans="1:56" ht="14.25" customHeight="1" thickBot="1">
      <c r="A370" s="3" t="s">
        <v>1920</v>
      </c>
      <c r="B370" s="3" t="s">
        <v>1708</v>
      </c>
      <c r="C370" s="3" t="s">
        <v>1921</v>
      </c>
      <c r="E370" s="3" t="s">
        <v>71</v>
      </c>
      <c r="F370" s="3">
        <f t="shared" si="2"/>
        <v>1</v>
      </c>
      <c r="G370" s="3" t="s">
        <v>94</v>
      </c>
      <c r="H370" s="3">
        <f t="shared" si="3"/>
        <v>1</v>
      </c>
      <c r="I370" s="3" t="s">
        <v>95</v>
      </c>
      <c r="J370" s="3" t="s">
        <v>96</v>
      </c>
      <c r="M370" s="3" t="s">
        <v>97</v>
      </c>
      <c r="N370" s="3" t="s">
        <v>98</v>
      </c>
      <c r="O370" s="3" t="s">
        <v>78</v>
      </c>
      <c r="P370" s="3" t="s">
        <v>79</v>
      </c>
      <c r="Q370" s="3" t="s">
        <v>1922</v>
      </c>
      <c r="S370" s="18">
        <v>32.43</v>
      </c>
      <c r="T370" s="18">
        <v>4.38</v>
      </c>
      <c r="U370" s="18">
        <v>7.71</v>
      </c>
      <c r="V370" s="3" t="s">
        <v>101</v>
      </c>
      <c r="Z370" s="3" t="s">
        <v>264</v>
      </c>
      <c r="AB370" s="3">
        <v>100404</v>
      </c>
      <c r="AC370" s="3" t="s">
        <v>102</v>
      </c>
      <c r="AD370" s="8">
        <v>38.002000000000002</v>
      </c>
      <c r="AE370" s="8">
        <v>-105.143</v>
      </c>
      <c r="AH370" s="3">
        <v>2013</v>
      </c>
      <c r="AI370" s="3">
        <v>9</v>
      </c>
      <c r="AJ370" s="8">
        <v>12</v>
      </c>
      <c r="AK370" s="3">
        <v>2013</v>
      </c>
      <c r="AL370" s="3">
        <v>9</v>
      </c>
      <c r="AM370" s="3">
        <v>19</v>
      </c>
      <c r="AN370" s="29">
        <v>9</v>
      </c>
      <c r="AP370" s="3">
        <v>16500</v>
      </c>
      <c r="AQ370" s="3">
        <v>5400</v>
      </c>
      <c r="AR370" s="3">
        <v>21900</v>
      </c>
      <c r="AU370" s="3">
        <v>200000</v>
      </c>
      <c r="AV370" s="3">
        <v>251252</v>
      </c>
      <c r="AW370" s="3">
        <v>1900000</v>
      </c>
      <c r="AX370" s="3">
        <v>2386895</v>
      </c>
      <c r="AY370" s="3">
        <v>79.6013094233451</v>
      </c>
      <c r="AZ370" s="3" t="s">
        <v>206</v>
      </c>
      <c r="BA370" s="3" t="s">
        <v>1923</v>
      </c>
      <c r="BB370" s="3" t="s">
        <v>1924</v>
      </c>
      <c r="BC370" s="3" t="s">
        <v>1925</v>
      </c>
      <c r="BD370" s="8">
        <v>5</v>
      </c>
    </row>
    <row r="371" spans="1:56" ht="14.25" customHeight="1" thickBot="1">
      <c r="A371" s="3" t="s">
        <v>1926</v>
      </c>
      <c r="B371" s="3" t="s">
        <v>1708</v>
      </c>
      <c r="C371" s="3" t="s">
        <v>536</v>
      </c>
      <c r="E371" s="3" t="s">
        <v>71</v>
      </c>
      <c r="F371" s="3">
        <f t="shared" si="2"/>
        <v>2</v>
      </c>
      <c r="G371" s="3" t="s">
        <v>72</v>
      </c>
      <c r="H371" s="3">
        <f t="shared" si="3"/>
        <v>2</v>
      </c>
      <c r="I371" s="3" t="s">
        <v>73</v>
      </c>
      <c r="J371" s="3" t="s">
        <v>74</v>
      </c>
      <c r="K371" s="3" t="s">
        <v>75</v>
      </c>
      <c r="M371" s="3" t="s">
        <v>97</v>
      </c>
      <c r="N371" s="3" t="s">
        <v>98</v>
      </c>
      <c r="O371" s="3" t="s">
        <v>78</v>
      </c>
      <c r="P371" s="3" t="s">
        <v>79</v>
      </c>
      <c r="Q371" s="3" t="s">
        <v>1927</v>
      </c>
      <c r="S371" s="18">
        <v>0</v>
      </c>
      <c r="T371" s="18">
        <v>3.65</v>
      </c>
      <c r="U371" s="18">
        <v>17.190000000000001</v>
      </c>
      <c r="V371" s="3" t="s">
        <v>355</v>
      </c>
      <c r="AB371" s="3">
        <v>285</v>
      </c>
      <c r="AC371" s="3" t="s">
        <v>81</v>
      </c>
      <c r="AD371" s="6">
        <v>38.725180000000002</v>
      </c>
      <c r="AE371" s="6">
        <v>-105.607716</v>
      </c>
      <c r="AH371" s="3">
        <v>2013</v>
      </c>
      <c r="AI371" s="3">
        <v>5</v>
      </c>
      <c r="AJ371" s="8">
        <v>15</v>
      </c>
      <c r="AK371" s="3">
        <v>2013</v>
      </c>
      <c r="AL371" s="3">
        <v>5</v>
      </c>
      <c r="AM371" s="3">
        <v>17</v>
      </c>
      <c r="AN371" s="29">
        <v>6</v>
      </c>
      <c r="AO371" s="3">
        <v>100</v>
      </c>
      <c r="AQ371" s="3">
        <v>600</v>
      </c>
      <c r="AR371" s="3">
        <v>700</v>
      </c>
      <c r="AU371" s="3">
        <v>200000</v>
      </c>
      <c r="AV371" s="3">
        <v>251252</v>
      </c>
      <c r="AW371" s="3">
        <v>300000</v>
      </c>
      <c r="AX371" s="3">
        <v>376878</v>
      </c>
      <c r="AY371" s="3">
        <v>79.6013094233451</v>
      </c>
      <c r="AZ371" s="3" t="s">
        <v>89</v>
      </c>
      <c r="BA371" s="3" t="s">
        <v>1928</v>
      </c>
      <c r="BC371" s="3" t="s">
        <v>1929</v>
      </c>
      <c r="BD371" s="8">
        <v>3</v>
      </c>
    </row>
    <row r="372" spans="1:56" ht="14.25" customHeight="1" thickBot="1">
      <c r="A372" s="3" t="s">
        <v>1930</v>
      </c>
      <c r="B372" s="3" t="s">
        <v>1708</v>
      </c>
      <c r="C372" s="3" t="s">
        <v>1931</v>
      </c>
      <c r="E372" s="3" t="s">
        <v>71</v>
      </c>
      <c r="F372" s="3">
        <f t="shared" si="2"/>
        <v>2</v>
      </c>
      <c r="G372" s="3" t="s">
        <v>72</v>
      </c>
      <c r="H372" s="3">
        <f t="shared" si="3"/>
        <v>2</v>
      </c>
      <c r="I372" s="3" t="s">
        <v>73</v>
      </c>
      <c r="J372" s="3" t="s">
        <v>74</v>
      </c>
      <c r="K372" s="3" t="s">
        <v>75</v>
      </c>
      <c r="M372" s="3" t="s">
        <v>97</v>
      </c>
      <c r="N372" s="3" t="s">
        <v>98</v>
      </c>
      <c r="O372" s="3" t="s">
        <v>78</v>
      </c>
      <c r="P372" s="3" t="s">
        <v>79</v>
      </c>
      <c r="Q372" s="3" t="s">
        <v>1932</v>
      </c>
      <c r="S372" s="18">
        <v>3.17</v>
      </c>
      <c r="T372" s="18">
        <v>5.68</v>
      </c>
      <c r="U372" s="18">
        <v>17.02</v>
      </c>
      <c r="V372" s="3" t="s">
        <v>355</v>
      </c>
      <c r="Z372" s="3" t="s">
        <v>264</v>
      </c>
      <c r="AB372" s="3">
        <v>305</v>
      </c>
      <c r="AC372" s="3" t="s">
        <v>81</v>
      </c>
      <c r="AD372" s="6">
        <v>40.079659999999997</v>
      </c>
      <c r="AE372" s="6">
        <v>-89.433729</v>
      </c>
      <c r="AH372" s="3">
        <v>2013</v>
      </c>
      <c r="AI372" s="3">
        <v>11</v>
      </c>
      <c r="AJ372" s="8">
        <v>16</v>
      </c>
      <c r="AK372" s="3">
        <v>2013</v>
      </c>
      <c r="AL372" s="3">
        <v>11</v>
      </c>
      <c r="AM372" s="3">
        <v>18</v>
      </c>
      <c r="AN372" s="29">
        <v>11</v>
      </c>
      <c r="AO372" s="3">
        <v>185</v>
      </c>
      <c r="AR372" s="3">
        <v>185</v>
      </c>
      <c r="AU372" s="3">
        <v>800000</v>
      </c>
      <c r="AV372" s="3">
        <v>1005009</v>
      </c>
      <c r="AW372" s="3">
        <v>1300000</v>
      </c>
      <c r="AX372" s="3">
        <v>1633139</v>
      </c>
      <c r="AY372" s="3">
        <v>79.6013094233451</v>
      </c>
      <c r="AZ372" s="3" t="s">
        <v>89</v>
      </c>
      <c r="BA372" s="3" t="s">
        <v>1933</v>
      </c>
      <c r="BC372" s="3" t="s">
        <v>1934</v>
      </c>
      <c r="BD372" s="8">
        <v>3</v>
      </c>
    </row>
    <row r="373" spans="1:56" ht="14.25" customHeight="1" thickBot="1">
      <c r="A373" s="3" t="s">
        <v>1935</v>
      </c>
      <c r="B373" s="3" t="s">
        <v>1708</v>
      </c>
      <c r="C373" s="3" t="s">
        <v>1319</v>
      </c>
      <c r="E373" s="3" t="s">
        <v>71</v>
      </c>
      <c r="F373" s="3">
        <f t="shared" si="2"/>
        <v>2</v>
      </c>
      <c r="G373" s="3" t="s">
        <v>72</v>
      </c>
      <c r="H373" s="3">
        <f t="shared" si="3"/>
        <v>2</v>
      </c>
      <c r="I373" s="3" t="s">
        <v>73</v>
      </c>
      <c r="J373" s="3" t="s">
        <v>74</v>
      </c>
      <c r="K373" s="3" t="s">
        <v>127</v>
      </c>
      <c r="M373" s="3" t="s">
        <v>97</v>
      </c>
      <c r="N373" s="3" t="s">
        <v>98</v>
      </c>
      <c r="O373" s="3" t="s">
        <v>78</v>
      </c>
      <c r="P373" s="3" t="s">
        <v>79</v>
      </c>
      <c r="Q373" s="3" t="s">
        <v>1936</v>
      </c>
      <c r="S373" s="18">
        <v>0</v>
      </c>
      <c r="T373" s="18">
        <v>1.82</v>
      </c>
      <c r="U373" s="18">
        <v>22.7</v>
      </c>
      <c r="V373" s="3" t="s">
        <v>355</v>
      </c>
      <c r="Z373" s="3" t="s">
        <v>264</v>
      </c>
      <c r="AC373" s="3" t="s">
        <v>81</v>
      </c>
      <c r="AD373" s="6">
        <v>31.26389</v>
      </c>
      <c r="AE373" s="6">
        <v>-98.545612000000006</v>
      </c>
      <c r="AH373" s="3">
        <v>2013</v>
      </c>
      <c r="AI373" s="3">
        <v>2</v>
      </c>
      <c r="AJ373" s="8">
        <v>24</v>
      </c>
      <c r="AK373" s="3">
        <v>2013</v>
      </c>
      <c r="AL373" s="3">
        <v>2</v>
      </c>
      <c r="AM373" s="3">
        <v>25</v>
      </c>
      <c r="AN373" s="29">
        <v>1</v>
      </c>
      <c r="AU373" s="3">
        <v>800000</v>
      </c>
      <c r="AV373" s="3">
        <v>1005009</v>
      </c>
      <c r="AW373" s="3">
        <v>1100000</v>
      </c>
      <c r="AX373" s="3">
        <v>1381887</v>
      </c>
      <c r="AY373" s="3">
        <v>79.6013094233451</v>
      </c>
      <c r="AZ373" s="3" t="s">
        <v>89</v>
      </c>
      <c r="BA373" s="3" t="s">
        <v>1937</v>
      </c>
      <c r="BC373" s="3" t="s">
        <v>1938</v>
      </c>
      <c r="BD373" s="8">
        <v>0</v>
      </c>
    </row>
    <row r="374" spans="1:56" ht="14.25" customHeight="1" thickBot="1">
      <c r="A374" s="3" t="s">
        <v>1939</v>
      </c>
      <c r="B374" s="3" t="s">
        <v>1708</v>
      </c>
      <c r="C374" s="3" t="s">
        <v>1940</v>
      </c>
      <c r="E374" s="3" t="s">
        <v>71</v>
      </c>
      <c r="F374" s="3">
        <f t="shared" si="2"/>
        <v>2</v>
      </c>
      <c r="G374" s="3" t="s">
        <v>72</v>
      </c>
      <c r="H374" s="3">
        <f t="shared" si="3"/>
        <v>2</v>
      </c>
      <c r="I374" s="3" t="s">
        <v>73</v>
      </c>
      <c r="J374" s="3" t="s">
        <v>74</v>
      </c>
      <c r="K374" s="3" t="s">
        <v>127</v>
      </c>
      <c r="M374" s="3" t="s">
        <v>97</v>
      </c>
      <c r="N374" s="3" t="s">
        <v>98</v>
      </c>
      <c r="O374" s="3" t="s">
        <v>78</v>
      </c>
      <c r="P374" s="3" t="s">
        <v>79</v>
      </c>
      <c r="Q374" s="3" t="s">
        <v>1941</v>
      </c>
      <c r="S374" s="18">
        <v>5.12</v>
      </c>
      <c r="T374" s="18">
        <v>-23.95</v>
      </c>
      <c r="U374" s="18">
        <v>-12.92</v>
      </c>
      <c r="V374" s="3" t="s">
        <v>95</v>
      </c>
      <c r="Z374" s="3" t="s">
        <v>264</v>
      </c>
      <c r="AC374" s="3" t="s">
        <v>81</v>
      </c>
      <c r="AD374" s="6">
        <v>45.709099999999999</v>
      </c>
      <c r="AE374" s="6">
        <v>-68.859020000000001</v>
      </c>
      <c r="AH374" s="3">
        <v>2013</v>
      </c>
      <c r="AI374" s="3">
        <v>2</v>
      </c>
      <c r="AJ374" s="8">
        <v>8</v>
      </c>
      <c r="AK374" s="3">
        <v>2013</v>
      </c>
      <c r="AL374" s="3">
        <v>2</v>
      </c>
      <c r="AM374" s="3">
        <v>9</v>
      </c>
      <c r="AN374" s="29">
        <v>15</v>
      </c>
      <c r="AW374" s="3">
        <v>100000</v>
      </c>
      <c r="AX374" s="3">
        <v>125626</v>
      </c>
      <c r="AY374" s="3">
        <v>79.6013094233451</v>
      </c>
      <c r="AZ374" s="3" t="s">
        <v>89</v>
      </c>
      <c r="BA374" s="3" t="s">
        <v>1942</v>
      </c>
      <c r="BC374" s="3" t="s">
        <v>1943</v>
      </c>
      <c r="BD374" s="8">
        <v>0</v>
      </c>
    </row>
    <row r="375" spans="1:56" ht="14.25" customHeight="1" thickBot="1">
      <c r="A375" s="3" t="s">
        <v>1944</v>
      </c>
      <c r="B375" s="3" t="s">
        <v>1708</v>
      </c>
      <c r="C375" s="3" t="s">
        <v>1945</v>
      </c>
      <c r="E375" s="3" t="s">
        <v>71</v>
      </c>
      <c r="F375" s="3">
        <f t="shared" si="2"/>
        <v>2</v>
      </c>
      <c r="G375" s="3" t="s">
        <v>72</v>
      </c>
      <c r="H375" s="3">
        <f t="shared" si="3"/>
        <v>2</v>
      </c>
      <c r="I375" s="3" t="s">
        <v>73</v>
      </c>
      <c r="J375" s="3" t="s">
        <v>74</v>
      </c>
      <c r="K375" s="3" t="s">
        <v>127</v>
      </c>
      <c r="M375" s="3" t="s">
        <v>97</v>
      </c>
      <c r="N375" s="3" t="s">
        <v>98</v>
      </c>
      <c r="O375" s="3" t="s">
        <v>78</v>
      </c>
      <c r="P375" s="3" t="s">
        <v>79</v>
      </c>
      <c r="Q375" s="3" t="s">
        <v>1946</v>
      </c>
      <c r="S375" s="18">
        <v>3.68</v>
      </c>
      <c r="T375" s="18">
        <v>-3.92</v>
      </c>
      <c r="U375" s="18">
        <v>-0.56000000000000005</v>
      </c>
      <c r="V375" s="3" t="s">
        <v>95</v>
      </c>
      <c r="AC375" s="3" t="s">
        <v>81</v>
      </c>
      <c r="AD375" s="6">
        <v>34.955080000000002</v>
      </c>
      <c r="AE375" s="6">
        <v>-97.268405999999999</v>
      </c>
      <c r="AH375" s="3">
        <v>2013</v>
      </c>
      <c r="AI375" s="3">
        <v>11</v>
      </c>
      <c r="AJ375" s="8">
        <v>24</v>
      </c>
      <c r="AK375" s="3">
        <v>2013</v>
      </c>
      <c r="AL375" s="3">
        <v>11</v>
      </c>
      <c r="AM375" s="3">
        <v>24</v>
      </c>
      <c r="AN375" s="29">
        <v>14</v>
      </c>
      <c r="AW375" s="3">
        <v>2000</v>
      </c>
      <c r="AX375" s="3">
        <v>2513</v>
      </c>
      <c r="AY375" s="3">
        <v>79.6013094233451</v>
      </c>
      <c r="AZ375" s="3" t="s">
        <v>89</v>
      </c>
      <c r="BA375" s="3" t="s">
        <v>1947</v>
      </c>
      <c r="BC375" s="3" t="s">
        <v>1948</v>
      </c>
      <c r="BD375" s="8">
        <v>0</v>
      </c>
    </row>
    <row r="376" spans="1:56" ht="14.25" customHeight="1" thickBot="1">
      <c r="A376" s="3" t="s">
        <v>1949</v>
      </c>
      <c r="B376" s="3" t="s">
        <v>1708</v>
      </c>
      <c r="C376" s="3" t="s">
        <v>1950</v>
      </c>
      <c r="E376" s="3" t="s">
        <v>71</v>
      </c>
      <c r="F376" s="3">
        <f t="shared" si="2"/>
        <v>2</v>
      </c>
      <c r="G376" s="3" t="s">
        <v>72</v>
      </c>
      <c r="H376" s="3">
        <f t="shared" si="3"/>
        <v>2</v>
      </c>
      <c r="I376" s="3" t="s">
        <v>73</v>
      </c>
      <c r="J376" s="3" t="s">
        <v>74</v>
      </c>
      <c r="K376" s="3" t="s">
        <v>169</v>
      </c>
      <c r="M376" s="3" t="s">
        <v>97</v>
      </c>
      <c r="N376" s="3" t="s">
        <v>98</v>
      </c>
      <c r="O376" s="3" t="s">
        <v>78</v>
      </c>
      <c r="P376" s="3" t="s">
        <v>79</v>
      </c>
      <c r="Q376" s="3" t="s">
        <v>1951</v>
      </c>
      <c r="S376" s="18">
        <v>7.23</v>
      </c>
      <c r="T376" s="18">
        <v>-10.02</v>
      </c>
      <c r="U376" s="18">
        <v>0.21</v>
      </c>
      <c r="V376" s="3" t="s">
        <v>95</v>
      </c>
      <c r="AC376" s="3" t="s">
        <v>81</v>
      </c>
      <c r="AD376" s="6">
        <v>38.725180000000002</v>
      </c>
      <c r="AE376" s="6">
        <v>-105.607716</v>
      </c>
      <c r="AH376" s="3">
        <v>2013</v>
      </c>
      <c r="AI376" s="3">
        <v>4</v>
      </c>
      <c r="AJ376" s="8">
        <v>17</v>
      </c>
      <c r="AK376" s="3">
        <v>2013</v>
      </c>
      <c r="AL376" s="3">
        <v>4</v>
      </c>
      <c r="AM376" s="3">
        <v>19</v>
      </c>
      <c r="AN376" s="29">
        <v>3</v>
      </c>
      <c r="AU376" s="3">
        <v>800000</v>
      </c>
      <c r="AV376" s="3">
        <v>1005009</v>
      </c>
      <c r="AW376" s="3">
        <v>1100000</v>
      </c>
      <c r="AX376" s="3">
        <v>1381887</v>
      </c>
      <c r="AY376" s="3">
        <v>79.6013094233451</v>
      </c>
      <c r="AZ376" s="3" t="s">
        <v>89</v>
      </c>
      <c r="BA376" s="3" t="s">
        <v>1952</v>
      </c>
      <c r="BC376" s="3" t="s">
        <v>1953</v>
      </c>
      <c r="BD376" s="8">
        <v>0</v>
      </c>
    </row>
    <row r="377" spans="1:56" ht="14.25" customHeight="1" thickBot="1">
      <c r="A377" s="3" t="s">
        <v>1954</v>
      </c>
      <c r="B377" s="3" t="s">
        <v>1708</v>
      </c>
      <c r="C377" s="3" t="s">
        <v>573</v>
      </c>
      <c r="E377" s="3" t="s">
        <v>71</v>
      </c>
      <c r="F377" s="3">
        <f t="shared" si="2"/>
        <v>2</v>
      </c>
      <c r="G377" s="3" t="s">
        <v>72</v>
      </c>
      <c r="H377" s="3">
        <f t="shared" si="3"/>
        <v>2</v>
      </c>
      <c r="I377" s="3" t="s">
        <v>73</v>
      </c>
      <c r="J377" s="3" t="s">
        <v>74</v>
      </c>
      <c r="K377" s="3" t="s">
        <v>75</v>
      </c>
      <c r="M377" s="3" t="s">
        <v>97</v>
      </c>
      <c r="N377" s="3" t="s">
        <v>98</v>
      </c>
      <c r="O377" s="3" t="s">
        <v>78</v>
      </c>
      <c r="P377" s="3" t="s">
        <v>79</v>
      </c>
      <c r="Q377" s="3" t="s">
        <v>1955</v>
      </c>
      <c r="S377" s="18">
        <v>0</v>
      </c>
      <c r="T377" s="18">
        <v>4.33</v>
      </c>
      <c r="U377" s="18">
        <v>21.46</v>
      </c>
      <c r="AB377" s="3">
        <v>475</v>
      </c>
      <c r="AC377" s="3" t="s">
        <v>81</v>
      </c>
      <c r="AD377" s="6">
        <v>38.725180000000002</v>
      </c>
      <c r="AE377" s="6">
        <v>-105.607716</v>
      </c>
      <c r="AH377" s="3">
        <v>2013</v>
      </c>
      <c r="AI377" s="3">
        <v>5</v>
      </c>
      <c r="AJ377" s="8">
        <v>26</v>
      </c>
      <c r="AK377" s="3">
        <v>2013</v>
      </c>
      <c r="AL377" s="3">
        <v>6</v>
      </c>
      <c r="AM377" s="3">
        <v>6</v>
      </c>
      <c r="AN377" s="29">
        <v>27</v>
      </c>
      <c r="AO377" s="3">
        <v>150</v>
      </c>
      <c r="AP377" s="3">
        <v>170000</v>
      </c>
      <c r="AR377" s="3">
        <v>170150</v>
      </c>
      <c r="AU377" s="3">
        <v>1425000</v>
      </c>
      <c r="AV377" s="3">
        <v>1790172</v>
      </c>
      <c r="AW377" s="3">
        <v>2100000</v>
      </c>
      <c r="AX377" s="3">
        <v>2638148</v>
      </c>
      <c r="AY377" s="3">
        <v>79.6013094233451</v>
      </c>
      <c r="AZ377" s="3" t="s">
        <v>89</v>
      </c>
      <c r="BA377" s="3" t="s">
        <v>1956</v>
      </c>
      <c r="BC377" s="3" t="s">
        <v>1957</v>
      </c>
      <c r="BD377" s="8">
        <v>6</v>
      </c>
    </row>
    <row r="378" spans="1:56" ht="14.25" customHeight="1" thickBot="1">
      <c r="A378" s="3" t="s">
        <v>1958</v>
      </c>
      <c r="B378" s="3" t="s">
        <v>1708</v>
      </c>
      <c r="C378" s="3" t="s">
        <v>1762</v>
      </c>
      <c r="E378" s="3" t="s">
        <v>71</v>
      </c>
      <c r="F378" s="3">
        <f t="shared" si="2"/>
        <v>2</v>
      </c>
      <c r="G378" s="3" t="s">
        <v>72</v>
      </c>
      <c r="H378" s="3">
        <f t="shared" si="3"/>
        <v>2</v>
      </c>
      <c r="I378" s="3" t="s">
        <v>73</v>
      </c>
      <c r="J378" s="3" t="s">
        <v>74</v>
      </c>
      <c r="K378" s="3" t="s">
        <v>127</v>
      </c>
      <c r="M378" s="3" t="s">
        <v>97</v>
      </c>
      <c r="N378" s="3" t="s">
        <v>98</v>
      </c>
      <c r="O378" s="3" t="s">
        <v>78</v>
      </c>
      <c r="P378" s="3" t="s">
        <v>79</v>
      </c>
      <c r="Q378" s="3" t="s">
        <v>1959</v>
      </c>
      <c r="S378" s="18">
        <v>5.28</v>
      </c>
      <c r="T378" s="18">
        <v>-5.81</v>
      </c>
      <c r="U378" s="18">
        <v>-1.7</v>
      </c>
      <c r="AC378" s="3" t="s">
        <v>81</v>
      </c>
      <c r="AD378" s="6">
        <v>44.647179999999999</v>
      </c>
      <c r="AE378" s="6">
        <v>-100.348761</v>
      </c>
      <c r="AH378" s="3">
        <v>2013</v>
      </c>
      <c r="AI378" s="3">
        <v>2</v>
      </c>
      <c r="AJ378" s="8">
        <v>9</v>
      </c>
      <c r="AK378" s="3">
        <v>2013</v>
      </c>
      <c r="AL378" s="3">
        <v>2</v>
      </c>
      <c r="AM378" s="3">
        <v>11</v>
      </c>
      <c r="AN378" s="29">
        <v>1</v>
      </c>
      <c r="AO378" s="3">
        <v>82</v>
      </c>
      <c r="AP378" s="3">
        <v>4800</v>
      </c>
      <c r="AR378" s="3">
        <v>4882</v>
      </c>
      <c r="AW378" s="3">
        <v>100000</v>
      </c>
      <c r="AX378" s="3">
        <v>125626</v>
      </c>
      <c r="AY378" s="3">
        <v>79.6013094233451</v>
      </c>
      <c r="AZ378" s="3" t="s">
        <v>89</v>
      </c>
      <c r="BA378" s="3" t="s">
        <v>1960</v>
      </c>
      <c r="BC378" s="3" t="s">
        <v>1961</v>
      </c>
      <c r="BD378" s="8">
        <v>4</v>
      </c>
    </row>
    <row r="379" spans="1:56" ht="14.25" customHeight="1" thickBot="1">
      <c r="A379" s="3" t="s">
        <v>1962</v>
      </c>
      <c r="B379" s="3" t="s">
        <v>1708</v>
      </c>
      <c r="C379" s="3" t="s">
        <v>1963</v>
      </c>
      <c r="E379" s="3" t="s">
        <v>71</v>
      </c>
      <c r="F379" s="3">
        <f t="shared" si="2"/>
        <v>2</v>
      </c>
      <c r="G379" s="3" t="s">
        <v>72</v>
      </c>
      <c r="H379" s="3">
        <f t="shared" si="3"/>
        <v>2</v>
      </c>
      <c r="I379" s="3" t="s">
        <v>73</v>
      </c>
      <c r="J379" s="3" t="s">
        <v>74</v>
      </c>
      <c r="K379" s="3" t="s">
        <v>127</v>
      </c>
      <c r="L379" s="3" t="s">
        <v>1964</v>
      </c>
      <c r="M379" s="3" t="s">
        <v>97</v>
      </c>
      <c r="N379" s="3" t="s">
        <v>98</v>
      </c>
      <c r="O379" s="3" t="s">
        <v>78</v>
      </c>
      <c r="P379" s="3" t="s">
        <v>79</v>
      </c>
      <c r="Q379" s="3" t="s">
        <v>1965</v>
      </c>
      <c r="S379" s="18">
        <v>5.16</v>
      </c>
      <c r="T379" s="18">
        <v>0.68</v>
      </c>
      <c r="U379" s="18">
        <v>15.21</v>
      </c>
      <c r="AC379" s="3" t="s">
        <v>81</v>
      </c>
      <c r="AD379" s="6">
        <v>33.258879999999998</v>
      </c>
      <c r="AE379" s="6">
        <v>-86.829533999999995</v>
      </c>
      <c r="AH379" s="3">
        <v>2013</v>
      </c>
      <c r="AI379" s="3">
        <v>12</v>
      </c>
      <c r="AJ379" s="8">
        <v>1</v>
      </c>
      <c r="AK379" s="3">
        <v>2013</v>
      </c>
      <c r="AL379" s="3">
        <v>12</v>
      </c>
      <c r="AM379" s="3">
        <v>9</v>
      </c>
      <c r="AN379" s="29">
        <v>20</v>
      </c>
      <c r="AU379" s="3">
        <v>62500</v>
      </c>
      <c r="AV379" s="3">
        <v>78516</v>
      </c>
      <c r="AW379" s="3">
        <v>100000</v>
      </c>
      <c r="AX379" s="3">
        <v>125626</v>
      </c>
      <c r="AY379" s="3">
        <v>79.6013094233451</v>
      </c>
      <c r="AZ379" s="3" t="s">
        <v>89</v>
      </c>
      <c r="BA379" s="3" t="s">
        <v>1966</v>
      </c>
      <c r="BC379" s="3" t="s">
        <v>1967</v>
      </c>
      <c r="BD379" s="8">
        <v>0</v>
      </c>
    </row>
    <row r="380" spans="1:56" ht="14.25" customHeight="1" thickBot="1">
      <c r="A380" s="3" t="s">
        <v>1968</v>
      </c>
      <c r="B380" s="3" t="s">
        <v>1708</v>
      </c>
      <c r="C380" s="3" t="s">
        <v>1714</v>
      </c>
      <c r="E380" s="3" t="s">
        <v>71</v>
      </c>
      <c r="F380" s="3">
        <f t="shared" si="2"/>
        <v>2</v>
      </c>
      <c r="G380" s="3" t="s">
        <v>72</v>
      </c>
      <c r="H380" s="3">
        <f t="shared" si="3"/>
        <v>4</v>
      </c>
      <c r="I380" s="3" t="s">
        <v>219</v>
      </c>
      <c r="J380" s="3" t="s">
        <v>1406</v>
      </c>
      <c r="K380" s="3" t="s">
        <v>1407</v>
      </c>
      <c r="M380" s="3" t="s">
        <v>97</v>
      </c>
      <c r="N380" s="3" t="s">
        <v>98</v>
      </c>
      <c r="O380" s="3" t="s">
        <v>78</v>
      </c>
      <c r="P380" s="3" t="s">
        <v>79</v>
      </c>
      <c r="Q380" s="3" t="s">
        <v>1969</v>
      </c>
      <c r="S380" s="18">
        <v>3.53</v>
      </c>
      <c r="T380" s="18">
        <v>-9.27</v>
      </c>
      <c r="U380" s="18">
        <v>0.61</v>
      </c>
      <c r="AC380" s="3" t="s">
        <v>222</v>
      </c>
      <c r="AD380" s="6">
        <v>43.621200000000002</v>
      </c>
      <c r="AE380" s="6">
        <v>-84.682434999999998</v>
      </c>
      <c r="AH380" s="3">
        <v>2013</v>
      </c>
      <c r="AI380" s="3">
        <v>12</v>
      </c>
      <c r="AJ380" s="8">
        <v>19</v>
      </c>
      <c r="AK380" s="3">
        <v>2013</v>
      </c>
      <c r="AL380" s="3">
        <v>12</v>
      </c>
      <c r="AM380" s="3">
        <v>22</v>
      </c>
      <c r="AN380" s="29">
        <v>19</v>
      </c>
      <c r="AW380" s="3">
        <v>200000</v>
      </c>
      <c r="AX380" s="3">
        <v>251252</v>
      </c>
      <c r="AY380" s="3">
        <v>79.6013094233451</v>
      </c>
      <c r="AZ380" s="3" t="s">
        <v>89</v>
      </c>
      <c r="BA380" s="3" t="s">
        <v>1970</v>
      </c>
      <c r="BC380" s="3" t="s">
        <v>1971</v>
      </c>
      <c r="BD380" s="8">
        <v>0</v>
      </c>
    </row>
    <row r="381" spans="1:56" ht="14.25" customHeight="1" thickBot="1">
      <c r="A381" s="3" t="s">
        <v>1972</v>
      </c>
      <c r="B381" s="3" t="s">
        <v>1708</v>
      </c>
      <c r="C381" s="3" t="s">
        <v>1973</v>
      </c>
      <c r="E381" s="3" t="s">
        <v>71</v>
      </c>
      <c r="F381" s="3">
        <f t="shared" si="2"/>
        <v>2</v>
      </c>
      <c r="G381" s="3" t="s">
        <v>72</v>
      </c>
      <c r="H381" s="3">
        <f t="shared" si="3"/>
        <v>2</v>
      </c>
      <c r="I381" s="3" t="s">
        <v>73</v>
      </c>
      <c r="J381" s="3" t="s">
        <v>74</v>
      </c>
      <c r="K381" s="3" t="s">
        <v>169</v>
      </c>
      <c r="M381" s="3" t="s">
        <v>97</v>
      </c>
      <c r="N381" s="3" t="s">
        <v>98</v>
      </c>
      <c r="O381" s="3" t="s">
        <v>78</v>
      </c>
      <c r="P381" s="3" t="s">
        <v>79</v>
      </c>
      <c r="Q381" s="3" t="s">
        <v>1974</v>
      </c>
      <c r="S381" s="18">
        <v>6.73</v>
      </c>
      <c r="T381" s="18">
        <v>-1.9</v>
      </c>
      <c r="U381" s="18">
        <v>8.75</v>
      </c>
      <c r="AC381" s="3" t="s">
        <v>81</v>
      </c>
      <c r="AD381" s="6">
        <v>36.701459999999997</v>
      </c>
      <c r="AE381" s="6">
        <v>-118.75599699999999</v>
      </c>
      <c r="AH381" s="3">
        <v>2013</v>
      </c>
      <c r="AI381" s="3">
        <v>4</v>
      </c>
      <c r="AJ381" s="8">
        <v>7</v>
      </c>
      <c r="AK381" s="3">
        <v>2013</v>
      </c>
      <c r="AL381" s="3">
        <v>4</v>
      </c>
      <c r="AM381" s="3">
        <v>11</v>
      </c>
      <c r="AN381" s="29">
        <v>4</v>
      </c>
      <c r="AU381" s="3">
        <v>1500000</v>
      </c>
      <c r="AV381" s="3">
        <v>1884391</v>
      </c>
      <c r="AW381" s="3">
        <v>1600000</v>
      </c>
      <c r="AX381" s="3">
        <v>2010017</v>
      </c>
      <c r="AY381" s="3">
        <v>79.6013094233451</v>
      </c>
      <c r="AZ381" s="3" t="s">
        <v>89</v>
      </c>
      <c r="BA381" s="3" t="s">
        <v>1975</v>
      </c>
      <c r="BC381" s="3" t="s">
        <v>1976</v>
      </c>
      <c r="BD381" s="8">
        <v>0</v>
      </c>
    </row>
    <row r="382" spans="1:56" ht="14.25" customHeight="1" thickBot="1">
      <c r="A382" s="3" t="s">
        <v>1977</v>
      </c>
      <c r="B382" s="3" t="s">
        <v>1708</v>
      </c>
      <c r="C382" s="3" t="s">
        <v>1978</v>
      </c>
      <c r="E382" s="3" t="s">
        <v>71</v>
      </c>
      <c r="F382" s="3">
        <f t="shared" si="2"/>
        <v>2</v>
      </c>
      <c r="G382" s="3" t="s">
        <v>72</v>
      </c>
      <c r="H382" s="3">
        <f t="shared" si="3"/>
        <v>2</v>
      </c>
      <c r="I382" s="3" t="s">
        <v>73</v>
      </c>
      <c r="J382" s="3" t="s">
        <v>74</v>
      </c>
      <c r="K382" s="3" t="s">
        <v>169</v>
      </c>
      <c r="M382" s="3" t="s">
        <v>97</v>
      </c>
      <c r="N382" s="3" t="s">
        <v>98</v>
      </c>
      <c r="O382" s="3" t="s">
        <v>78</v>
      </c>
      <c r="P382" s="3" t="s">
        <v>79</v>
      </c>
      <c r="Q382" s="3" t="s">
        <v>1979</v>
      </c>
      <c r="S382" s="18">
        <v>0</v>
      </c>
      <c r="T382" s="18">
        <v>16.2</v>
      </c>
      <c r="U382" s="18">
        <v>28.79</v>
      </c>
      <c r="AC382" s="3" t="s">
        <v>81</v>
      </c>
      <c r="AD382" s="6">
        <v>30.87039</v>
      </c>
      <c r="AE382" s="6">
        <v>-92.007126</v>
      </c>
      <c r="AH382" s="3">
        <v>2013</v>
      </c>
      <c r="AI382" s="3">
        <v>3</v>
      </c>
      <c r="AJ382" s="8">
        <v>18</v>
      </c>
      <c r="AK382" s="3">
        <v>2013</v>
      </c>
      <c r="AL382" s="3">
        <v>3</v>
      </c>
      <c r="AM382" s="3">
        <v>19</v>
      </c>
      <c r="AN382" s="29">
        <v>2</v>
      </c>
      <c r="AU382" s="3">
        <v>1600000</v>
      </c>
      <c r="AV382" s="3">
        <v>2010017</v>
      </c>
      <c r="AW382" s="3">
        <v>2200000</v>
      </c>
      <c r="AX382" s="3">
        <v>2763774</v>
      </c>
      <c r="AY382" s="3">
        <v>79.6013094233451</v>
      </c>
      <c r="AZ382" s="3" t="s">
        <v>89</v>
      </c>
      <c r="BA382" s="3" t="s">
        <v>1980</v>
      </c>
      <c r="BC382" s="3" t="s">
        <v>1981</v>
      </c>
      <c r="BD382" s="8">
        <v>0</v>
      </c>
    </row>
    <row r="383" spans="1:56" ht="14.25" customHeight="1" thickBot="1">
      <c r="A383" s="3" t="s">
        <v>1982</v>
      </c>
      <c r="B383" s="3" t="s">
        <v>1708</v>
      </c>
      <c r="C383" s="3" t="s">
        <v>1311</v>
      </c>
      <c r="E383" s="3" t="s">
        <v>71</v>
      </c>
      <c r="F383" s="3">
        <f t="shared" si="2"/>
        <v>1</v>
      </c>
      <c r="G383" s="3" t="s">
        <v>94</v>
      </c>
      <c r="H383" s="3">
        <f t="shared" si="3"/>
        <v>1</v>
      </c>
      <c r="I383" s="3" t="s">
        <v>95</v>
      </c>
      <c r="J383" s="3" t="s">
        <v>96</v>
      </c>
      <c r="M383" s="3" t="s">
        <v>97</v>
      </c>
      <c r="N383" s="3" t="s">
        <v>98</v>
      </c>
      <c r="O383" s="3" t="s">
        <v>78</v>
      </c>
      <c r="P383" s="3" t="s">
        <v>79</v>
      </c>
      <c r="Q383" s="3" t="s">
        <v>1983</v>
      </c>
      <c r="R383" s="3" t="s">
        <v>1984</v>
      </c>
      <c r="S383" s="18">
        <v>2.77</v>
      </c>
      <c r="T383" s="18">
        <v>16.28</v>
      </c>
      <c r="U383" s="18">
        <v>23.47</v>
      </c>
      <c r="AC383" s="3" t="s">
        <v>102</v>
      </c>
      <c r="AD383" s="6">
        <v>41.499659999999999</v>
      </c>
      <c r="AE383" s="6">
        <v>-81.693676999999994</v>
      </c>
      <c r="AH383" s="3">
        <v>2013</v>
      </c>
      <c r="AI383" s="3">
        <v>7</v>
      </c>
      <c r="AJ383" s="8">
        <v>27</v>
      </c>
      <c r="AK383" s="3">
        <v>2013</v>
      </c>
      <c r="AL383" s="3">
        <v>7</v>
      </c>
      <c r="AM383" s="3">
        <v>28</v>
      </c>
      <c r="AN383" s="29">
        <v>2</v>
      </c>
      <c r="AP383" s="3">
        <v>1425</v>
      </c>
      <c r="AR383" s="3">
        <v>1425</v>
      </c>
      <c r="AW383" s="3">
        <v>25000</v>
      </c>
      <c r="AX383" s="3">
        <v>31407</v>
      </c>
      <c r="AY383" s="3">
        <v>79.6013094233451</v>
      </c>
      <c r="AZ383" s="3" t="s">
        <v>206</v>
      </c>
      <c r="BA383" s="3" t="s">
        <v>280</v>
      </c>
      <c r="BB383" s="3" t="s">
        <v>1985</v>
      </c>
      <c r="BC383" s="3" t="s">
        <v>1986</v>
      </c>
      <c r="BD383" s="8">
        <v>4</v>
      </c>
    </row>
    <row r="384" spans="1:56" ht="14.25" customHeight="1" thickBot="1">
      <c r="A384" s="3" t="s">
        <v>1987</v>
      </c>
      <c r="B384" s="3" t="s">
        <v>1708</v>
      </c>
      <c r="C384" s="3" t="s">
        <v>1988</v>
      </c>
      <c r="E384" s="3" t="s">
        <v>71</v>
      </c>
      <c r="F384" s="3">
        <f t="shared" si="2"/>
        <v>1</v>
      </c>
      <c r="G384" s="3" t="s">
        <v>94</v>
      </c>
      <c r="H384" s="3">
        <f t="shared" si="3"/>
        <v>1</v>
      </c>
      <c r="I384" s="3" t="s">
        <v>95</v>
      </c>
      <c r="J384" s="3" t="s">
        <v>96</v>
      </c>
      <c r="M384" s="3" t="s">
        <v>97</v>
      </c>
      <c r="N384" s="3" t="s">
        <v>98</v>
      </c>
      <c r="O384" s="3" t="s">
        <v>78</v>
      </c>
      <c r="P384" s="3" t="s">
        <v>79</v>
      </c>
      <c r="Q384" s="3" t="s">
        <v>1989</v>
      </c>
      <c r="R384" s="3" t="s">
        <v>1827</v>
      </c>
      <c r="S384" s="18">
        <v>12.07</v>
      </c>
      <c r="T384" s="18">
        <v>20.38</v>
      </c>
      <c r="U384" s="18">
        <v>30.02</v>
      </c>
      <c r="AB384" s="3">
        <v>123143</v>
      </c>
      <c r="AC384" s="3" t="s">
        <v>102</v>
      </c>
      <c r="AD384" s="8">
        <v>38.213799999999999</v>
      </c>
      <c r="AE384" s="8">
        <v>-94.15</v>
      </c>
      <c r="AH384" s="3">
        <v>2013</v>
      </c>
      <c r="AI384" s="3">
        <v>8</v>
      </c>
      <c r="AJ384" s="8">
        <v>5</v>
      </c>
      <c r="AK384" s="3">
        <v>2013</v>
      </c>
      <c r="AL384" s="3">
        <v>8</v>
      </c>
      <c r="AM384" s="3">
        <v>12</v>
      </c>
      <c r="AN384" s="29">
        <v>3</v>
      </c>
      <c r="AP384" s="3">
        <v>6000</v>
      </c>
      <c r="AR384" s="3">
        <v>6000</v>
      </c>
      <c r="AW384" s="3">
        <v>25000</v>
      </c>
      <c r="AX384" s="3">
        <v>31407</v>
      </c>
      <c r="AY384" s="3">
        <v>79.6013094233451</v>
      </c>
      <c r="AZ384" s="3" t="s">
        <v>89</v>
      </c>
      <c r="BA384" s="3" t="s">
        <v>1990</v>
      </c>
      <c r="BC384" s="3" t="s">
        <v>1991</v>
      </c>
      <c r="BD384" s="8">
        <v>4</v>
      </c>
    </row>
    <row r="385" spans="1:56" ht="14.25" customHeight="1" thickBot="1">
      <c r="A385" s="3" t="s">
        <v>1992</v>
      </c>
      <c r="B385" s="3" t="s">
        <v>1708</v>
      </c>
      <c r="C385" s="3" t="s">
        <v>1018</v>
      </c>
      <c r="E385" s="3" t="s">
        <v>71</v>
      </c>
      <c r="F385" s="3">
        <f t="shared" si="2"/>
        <v>1</v>
      </c>
      <c r="G385" s="3" t="s">
        <v>94</v>
      </c>
      <c r="H385" s="3">
        <f t="shared" si="3"/>
        <v>1</v>
      </c>
      <c r="I385" s="3" t="s">
        <v>95</v>
      </c>
      <c r="J385" s="3" t="s">
        <v>96</v>
      </c>
      <c r="M385" s="3" t="s">
        <v>97</v>
      </c>
      <c r="N385" s="3" t="s">
        <v>98</v>
      </c>
      <c r="O385" s="3" t="s">
        <v>78</v>
      </c>
      <c r="P385" s="3" t="s">
        <v>79</v>
      </c>
      <c r="Q385" s="3" t="s">
        <v>1993</v>
      </c>
      <c r="R385" s="3" t="s">
        <v>200</v>
      </c>
      <c r="S385" s="18">
        <v>3.68</v>
      </c>
      <c r="T385" s="18">
        <v>21.08</v>
      </c>
      <c r="U385" s="18">
        <v>31.57</v>
      </c>
      <c r="AB385" s="3">
        <v>33908</v>
      </c>
      <c r="AC385" s="3" t="s">
        <v>102</v>
      </c>
      <c r="AD385" s="8">
        <v>28.899000000000001</v>
      </c>
      <c r="AE385" s="8">
        <v>-98.89</v>
      </c>
      <c r="AH385" s="3">
        <v>2013</v>
      </c>
      <c r="AI385" s="3">
        <v>5</v>
      </c>
      <c r="AJ385" s="8">
        <v>25</v>
      </c>
      <c r="AK385" s="3">
        <v>2013</v>
      </c>
      <c r="AL385" s="3">
        <v>5</v>
      </c>
      <c r="AM385" s="3">
        <v>28</v>
      </c>
      <c r="AN385" s="29">
        <v>3</v>
      </c>
      <c r="AP385" s="3">
        <v>300</v>
      </c>
      <c r="AR385" s="3">
        <v>300</v>
      </c>
      <c r="AW385" s="3">
        <v>2000</v>
      </c>
      <c r="AX385" s="3">
        <v>2513</v>
      </c>
      <c r="AY385" s="3">
        <v>79.6013094233451</v>
      </c>
      <c r="AZ385" s="3" t="s">
        <v>82</v>
      </c>
      <c r="BB385" s="3" t="s">
        <v>1994</v>
      </c>
      <c r="BC385" s="3" t="s">
        <v>1995</v>
      </c>
      <c r="BD385" s="8">
        <v>3</v>
      </c>
    </row>
    <row r="386" spans="1:56" ht="14.25" customHeight="1" thickBot="1">
      <c r="A386" s="3" t="s">
        <v>1996</v>
      </c>
      <c r="B386" s="3" t="s">
        <v>1708</v>
      </c>
      <c r="C386" s="3" t="s">
        <v>1997</v>
      </c>
      <c r="E386" s="3" t="s">
        <v>71</v>
      </c>
      <c r="F386" s="3">
        <f t="shared" si="2"/>
        <v>1</v>
      </c>
      <c r="G386" s="3" t="s">
        <v>94</v>
      </c>
      <c r="H386" s="3">
        <f t="shared" si="3"/>
        <v>1</v>
      </c>
      <c r="I386" s="3" t="s">
        <v>95</v>
      </c>
      <c r="J386" s="3" t="s">
        <v>96</v>
      </c>
      <c r="M386" s="3" t="s">
        <v>97</v>
      </c>
      <c r="N386" s="3" t="s">
        <v>98</v>
      </c>
      <c r="O386" s="3" t="s">
        <v>78</v>
      </c>
      <c r="P386" s="3" t="s">
        <v>79</v>
      </c>
      <c r="Q386" s="3" t="s">
        <v>1998</v>
      </c>
      <c r="R386" s="3" t="s">
        <v>200</v>
      </c>
      <c r="S386" s="18">
        <v>0</v>
      </c>
      <c r="T386" s="18">
        <v>3.15</v>
      </c>
      <c r="U386" s="18">
        <v>21.86</v>
      </c>
      <c r="AB386" s="3">
        <v>493137</v>
      </c>
      <c r="AC386" s="3" t="s">
        <v>102</v>
      </c>
      <c r="AD386" s="8">
        <v>38.827800000000003</v>
      </c>
      <c r="AE386" s="8">
        <v>-88.64</v>
      </c>
      <c r="AH386" s="3">
        <v>2013</v>
      </c>
      <c r="AI386" s="3">
        <v>4</v>
      </c>
      <c r="AJ386" s="8">
        <v>22</v>
      </c>
      <c r="AK386" s="3">
        <v>2013</v>
      </c>
      <c r="AL386" s="3">
        <v>4</v>
      </c>
      <c r="AM386" s="3">
        <v>29</v>
      </c>
      <c r="AN386" s="29">
        <v>5</v>
      </c>
      <c r="AP386" s="3">
        <v>300</v>
      </c>
      <c r="AR386" s="3">
        <v>300</v>
      </c>
      <c r="AW386" s="3">
        <v>325000</v>
      </c>
      <c r="AX386" s="3">
        <v>408285</v>
      </c>
      <c r="AY386" s="3">
        <v>79.6013094233451</v>
      </c>
      <c r="AZ386" s="3" t="s">
        <v>89</v>
      </c>
      <c r="BA386" s="3" t="s">
        <v>1999</v>
      </c>
      <c r="BC386" s="3" t="s">
        <v>2000</v>
      </c>
      <c r="BD386" s="8">
        <v>3</v>
      </c>
    </row>
    <row r="387" spans="1:56" ht="14.25" customHeight="1" thickBot="1">
      <c r="A387" s="3" t="s">
        <v>2001</v>
      </c>
      <c r="B387" s="3" t="s">
        <v>1708</v>
      </c>
      <c r="C387" s="3" t="s">
        <v>2002</v>
      </c>
      <c r="E387" s="3" t="s">
        <v>71</v>
      </c>
      <c r="F387" s="3">
        <f t="shared" si="2"/>
        <v>1</v>
      </c>
      <c r="G387" s="3" t="s">
        <v>94</v>
      </c>
      <c r="H387" s="3">
        <f t="shared" si="3"/>
        <v>1</v>
      </c>
      <c r="I387" s="3" t="s">
        <v>95</v>
      </c>
      <c r="J387" s="3" t="s">
        <v>96</v>
      </c>
      <c r="M387" s="3" t="s">
        <v>97</v>
      </c>
      <c r="N387" s="3" t="s">
        <v>98</v>
      </c>
      <c r="O387" s="3" t="s">
        <v>78</v>
      </c>
      <c r="P387" s="3" t="s">
        <v>79</v>
      </c>
      <c r="Q387" s="3" t="s">
        <v>2003</v>
      </c>
      <c r="R387" s="3" t="s">
        <v>2004</v>
      </c>
      <c r="S387" s="18">
        <v>6.39</v>
      </c>
      <c r="T387" s="18">
        <v>16.79</v>
      </c>
      <c r="U387" s="18">
        <v>26.93</v>
      </c>
      <c r="Z387" s="3" t="s">
        <v>264</v>
      </c>
      <c r="AB387" s="3">
        <v>38936</v>
      </c>
      <c r="AC387" s="3" t="s">
        <v>102</v>
      </c>
      <c r="AD387" s="8">
        <v>30.66</v>
      </c>
      <c r="AE387" s="8">
        <v>-96.01</v>
      </c>
      <c r="AH387" s="3">
        <v>2013</v>
      </c>
      <c r="AI387" s="3">
        <v>10</v>
      </c>
      <c r="AJ387" s="8">
        <v>31</v>
      </c>
      <c r="AK387" s="3">
        <v>2013</v>
      </c>
      <c r="AL387" s="3">
        <v>11</v>
      </c>
      <c r="AM387" s="3">
        <v>10</v>
      </c>
      <c r="AN387" s="29">
        <v>4</v>
      </c>
      <c r="AP387" s="3">
        <v>4800</v>
      </c>
      <c r="AR387" s="3">
        <v>4800</v>
      </c>
      <c r="AY387" s="3">
        <v>79.6013094233451</v>
      </c>
      <c r="AZ387" s="3" t="s">
        <v>82</v>
      </c>
      <c r="BB387" s="3" t="s">
        <v>2005</v>
      </c>
      <c r="BC387" s="3" t="s">
        <v>2006</v>
      </c>
      <c r="BD387" s="8">
        <v>4</v>
      </c>
    </row>
    <row r="388" spans="1:56" ht="14.25" customHeight="1" thickBot="1">
      <c r="A388" s="3" t="s">
        <v>2007</v>
      </c>
      <c r="B388" s="3" t="s">
        <v>1708</v>
      </c>
      <c r="C388" s="3" t="s">
        <v>2008</v>
      </c>
      <c r="E388" s="3" t="s">
        <v>71</v>
      </c>
      <c r="F388" s="3">
        <f t="shared" si="2"/>
        <v>1</v>
      </c>
      <c r="G388" s="3" t="s">
        <v>94</v>
      </c>
      <c r="H388" s="3">
        <f t="shared" si="3"/>
        <v>1</v>
      </c>
      <c r="I388" s="3" t="s">
        <v>95</v>
      </c>
      <c r="J388" s="3" t="s">
        <v>96</v>
      </c>
      <c r="M388" s="3" t="s">
        <v>97</v>
      </c>
      <c r="N388" s="3" t="s">
        <v>98</v>
      </c>
      <c r="O388" s="3" t="s">
        <v>78</v>
      </c>
      <c r="P388" s="3" t="s">
        <v>79</v>
      </c>
      <c r="Q388" s="3" t="s">
        <v>2009</v>
      </c>
      <c r="R388" s="3" t="s">
        <v>200</v>
      </c>
      <c r="S388" s="18">
        <v>0</v>
      </c>
      <c r="T388" s="18">
        <v>7.31</v>
      </c>
      <c r="U388" s="18">
        <v>16.25</v>
      </c>
      <c r="AB388" s="3">
        <v>16070</v>
      </c>
      <c r="AC388" s="3" t="s">
        <v>102</v>
      </c>
      <c r="AD388" s="8">
        <v>37.559699999999999</v>
      </c>
      <c r="AE388" s="8">
        <v>-86.79</v>
      </c>
      <c r="AH388" s="3">
        <v>2013</v>
      </c>
      <c r="AI388" s="3">
        <v>12</v>
      </c>
      <c r="AJ388" s="8">
        <v>22</v>
      </c>
      <c r="AK388" s="3">
        <v>2013</v>
      </c>
      <c r="AL388" s="3">
        <v>12</v>
      </c>
      <c r="AM388" s="3">
        <v>31</v>
      </c>
      <c r="AN388" s="29">
        <v>5</v>
      </c>
      <c r="AY388" s="3">
        <v>79.6013094233451</v>
      </c>
      <c r="AZ388" s="3" t="s">
        <v>82</v>
      </c>
      <c r="BB388" s="3" t="s">
        <v>2010</v>
      </c>
      <c r="BC388" s="3" t="s">
        <v>2011</v>
      </c>
      <c r="BD388" s="8">
        <v>0</v>
      </c>
    </row>
    <row r="389" spans="1:56" ht="14.25" customHeight="1" thickBot="1">
      <c r="A389" s="3" t="s">
        <v>2012</v>
      </c>
      <c r="B389" s="3" t="s">
        <v>1708</v>
      </c>
      <c r="C389" s="3" t="s">
        <v>2013</v>
      </c>
      <c r="E389" s="3" t="s">
        <v>71</v>
      </c>
      <c r="F389" s="3">
        <f t="shared" si="2"/>
        <v>3</v>
      </c>
      <c r="G389" s="3" t="s">
        <v>119</v>
      </c>
      <c r="H389" s="3">
        <f t="shared" si="3"/>
        <v>3</v>
      </c>
      <c r="I389" s="3" t="s">
        <v>122</v>
      </c>
      <c r="J389" s="3" t="s">
        <v>227</v>
      </c>
      <c r="M389" s="3" t="s">
        <v>97</v>
      </c>
      <c r="N389" s="3" t="s">
        <v>98</v>
      </c>
      <c r="O389" s="3" t="s">
        <v>78</v>
      </c>
      <c r="P389" s="3" t="s">
        <v>79</v>
      </c>
      <c r="Q389" s="3" t="s">
        <v>772</v>
      </c>
      <c r="R389" s="3" t="s">
        <v>2014</v>
      </c>
      <c r="S389" s="18">
        <v>0</v>
      </c>
      <c r="T389" s="18">
        <v>16.28</v>
      </c>
      <c r="U389" s="18">
        <v>26.45</v>
      </c>
      <c r="AC389" s="3" t="s">
        <v>102</v>
      </c>
      <c r="AD389" s="10">
        <v>34.018009999999997</v>
      </c>
      <c r="AE389" s="11">
        <v>-118.252684</v>
      </c>
      <c r="AH389" s="3">
        <v>2013</v>
      </c>
      <c r="AI389" s="3">
        <v>5</v>
      </c>
      <c r="AJ389" s="8">
        <v>30</v>
      </c>
      <c r="AK389" s="3">
        <v>2013</v>
      </c>
      <c r="AL389" s="3">
        <v>6</v>
      </c>
      <c r="AM389" s="3">
        <v>8</v>
      </c>
      <c r="AN389" s="29">
        <v>0</v>
      </c>
      <c r="AO389" s="3">
        <v>8</v>
      </c>
      <c r="AP389" s="3">
        <v>12</v>
      </c>
      <c r="AQ389" s="3">
        <v>90</v>
      </c>
      <c r="AR389" s="3">
        <v>110</v>
      </c>
      <c r="AW389" s="3">
        <v>21400</v>
      </c>
      <c r="AX389" s="3">
        <v>26884</v>
      </c>
      <c r="AY389" s="3">
        <v>79.6013094233451</v>
      </c>
      <c r="AZ389" s="3" t="s">
        <v>82</v>
      </c>
      <c r="BB389" s="3" t="s">
        <v>591</v>
      </c>
      <c r="BC389" s="3" t="s">
        <v>592</v>
      </c>
      <c r="BD389" s="8">
        <v>3</v>
      </c>
    </row>
    <row r="390" spans="1:56" ht="14.25" customHeight="1" thickBot="1">
      <c r="A390" s="3" t="s">
        <v>2015</v>
      </c>
      <c r="B390" s="3" t="s">
        <v>1708</v>
      </c>
      <c r="C390" s="3" t="s">
        <v>750</v>
      </c>
      <c r="E390" s="3" t="s">
        <v>71</v>
      </c>
      <c r="F390" s="3">
        <f t="shared" si="2"/>
        <v>3</v>
      </c>
      <c r="G390" s="3" t="s">
        <v>119</v>
      </c>
      <c r="H390" s="3">
        <f t="shared" si="3"/>
        <v>3</v>
      </c>
      <c r="I390" s="3" t="s">
        <v>122</v>
      </c>
      <c r="J390" s="3" t="s">
        <v>227</v>
      </c>
      <c r="M390" s="3" t="s">
        <v>97</v>
      </c>
      <c r="N390" s="3" t="s">
        <v>98</v>
      </c>
      <c r="O390" s="3" t="s">
        <v>78</v>
      </c>
      <c r="P390" s="3" t="s">
        <v>79</v>
      </c>
      <c r="Q390" s="3" t="s">
        <v>2016</v>
      </c>
      <c r="S390" s="18">
        <v>0</v>
      </c>
      <c r="T390" s="18">
        <v>2.92</v>
      </c>
      <c r="U390" s="18">
        <v>21.61</v>
      </c>
      <c r="AC390" s="3" t="s">
        <v>102</v>
      </c>
      <c r="AD390" s="5">
        <v>39.038330303703603</v>
      </c>
      <c r="AE390" s="17">
        <v>-104.665512120191</v>
      </c>
      <c r="AH390" s="3">
        <v>2013</v>
      </c>
      <c r="AI390" s="3">
        <v>6</v>
      </c>
      <c r="AJ390" s="8">
        <v>6</v>
      </c>
      <c r="AK390" s="3">
        <v>2013</v>
      </c>
      <c r="AL390" s="3">
        <v>6</v>
      </c>
      <c r="AM390" s="3">
        <v>20</v>
      </c>
      <c r="AN390" s="29">
        <v>2</v>
      </c>
      <c r="AP390" s="3">
        <v>84</v>
      </c>
      <c r="AQ390" s="3">
        <v>1533</v>
      </c>
      <c r="AR390" s="3">
        <v>1617</v>
      </c>
      <c r="AU390" s="3">
        <v>450000</v>
      </c>
      <c r="AV390" s="3">
        <v>565317</v>
      </c>
      <c r="AW390" s="3">
        <v>500000</v>
      </c>
      <c r="AX390" s="3">
        <v>628130</v>
      </c>
      <c r="AY390" s="3">
        <v>79.6013094233451</v>
      </c>
      <c r="AZ390" s="3" t="s">
        <v>82</v>
      </c>
      <c r="BB390" s="3" t="s">
        <v>1914</v>
      </c>
      <c r="BC390" s="3" t="s">
        <v>1146</v>
      </c>
      <c r="BD390" s="8">
        <v>4</v>
      </c>
    </row>
    <row r="391" spans="1:56" ht="14.25" customHeight="1" thickBot="1">
      <c r="A391" s="3" t="s">
        <v>2017</v>
      </c>
      <c r="B391" s="3" t="s">
        <v>1708</v>
      </c>
      <c r="C391" s="3" t="s">
        <v>2018</v>
      </c>
      <c r="E391" s="3" t="s">
        <v>71</v>
      </c>
      <c r="F391" s="3">
        <f t="shared" si="2"/>
        <v>3</v>
      </c>
      <c r="G391" s="3" t="s">
        <v>119</v>
      </c>
      <c r="H391" s="3">
        <f t="shared" si="3"/>
        <v>3</v>
      </c>
      <c r="I391" s="3" t="s">
        <v>122</v>
      </c>
      <c r="J391" s="3" t="s">
        <v>227</v>
      </c>
      <c r="M391" s="3" t="s">
        <v>97</v>
      </c>
      <c r="N391" s="3" t="s">
        <v>98</v>
      </c>
      <c r="O391" s="3" t="s">
        <v>78</v>
      </c>
      <c r="P391" s="3" t="s">
        <v>79</v>
      </c>
      <c r="Q391" s="3" t="s">
        <v>2019</v>
      </c>
      <c r="S391" s="18">
        <v>0</v>
      </c>
      <c r="T391" s="18">
        <v>24.02</v>
      </c>
      <c r="U391" s="18">
        <v>39.979999999999997</v>
      </c>
      <c r="AC391" s="3" t="s">
        <v>102</v>
      </c>
      <c r="AD391" s="5">
        <v>34.223923698781697</v>
      </c>
      <c r="AE391" s="17">
        <v>-112.757080432959</v>
      </c>
      <c r="AH391" s="3">
        <v>2013</v>
      </c>
      <c r="AI391" s="3">
        <v>6</v>
      </c>
      <c r="AJ391" s="8">
        <v>28</v>
      </c>
      <c r="AK391" s="3">
        <v>2013</v>
      </c>
      <c r="AL391" s="3">
        <v>7</v>
      </c>
      <c r="AM391" s="3">
        <v>12</v>
      </c>
      <c r="AN391" s="29">
        <v>19</v>
      </c>
      <c r="AQ391" s="3">
        <v>387</v>
      </c>
      <c r="AR391" s="3">
        <v>387</v>
      </c>
      <c r="AW391" s="3">
        <v>2000</v>
      </c>
      <c r="AX391" s="3">
        <v>2513</v>
      </c>
      <c r="AY391" s="3">
        <v>79.6013094233451</v>
      </c>
      <c r="AZ391" s="3" t="s">
        <v>82</v>
      </c>
      <c r="BB391" s="3" t="s">
        <v>2020</v>
      </c>
      <c r="BC391" s="3" t="s">
        <v>2021</v>
      </c>
      <c r="BD391" s="8">
        <v>3</v>
      </c>
    </row>
    <row r="392" spans="1:56" ht="14.25" customHeight="1" thickBot="1">
      <c r="A392" s="3" t="s">
        <v>2022</v>
      </c>
      <c r="B392" s="3" t="s">
        <v>1708</v>
      </c>
      <c r="C392" s="3" t="s">
        <v>2023</v>
      </c>
      <c r="E392" s="3" t="s">
        <v>71</v>
      </c>
      <c r="F392" s="3">
        <f t="shared" si="2"/>
        <v>3</v>
      </c>
      <c r="G392" s="3" t="s">
        <v>119</v>
      </c>
      <c r="H392" s="3">
        <f t="shared" si="3"/>
        <v>3</v>
      </c>
      <c r="I392" s="3" t="s">
        <v>122</v>
      </c>
      <c r="M392" s="3" t="s">
        <v>97</v>
      </c>
      <c r="N392" s="3" t="s">
        <v>98</v>
      </c>
      <c r="O392" s="3" t="s">
        <v>78</v>
      </c>
      <c r="P392" s="3" t="s">
        <v>79</v>
      </c>
      <c r="Q392" s="3" t="s">
        <v>2024</v>
      </c>
      <c r="S392" s="18">
        <v>0</v>
      </c>
      <c r="T392" s="18">
        <v>11.7</v>
      </c>
      <c r="U392" s="18">
        <v>29.9</v>
      </c>
      <c r="Z392" s="3" t="s">
        <v>264</v>
      </c>
      <c r="AC392" s="3" t="s">
        <v>102</v>
      </c>
      <c r="AD392" s="5">
        <v>37.744140952899997</v>
      </c>
      <c r="AE392" s="17">
        <v>-119.58035667346</v>
      </c>
      <c r="AH392" s="3">
        <v>2013</v>
      </c>
      <c r="AI392" s="3">
        <v>8</v>
      </c>
      <c r="AJ392" s="8">
        <v>3</v>
      </c>
      <c r="AK392" s="3">
        <v>2013</v>
      </c>
      <c r="AL392" s="3">
        <v>9</v>
      </c>
      <c r="AM392" s="3">
        <v>1</v>
      </c>
      <c r="AN392" s="29">
        <v>0</v>
      </c>
      <c r="AO392" s="3">
        <v>3</v>
      </c>
      <c r="AQ392" s="3">
        <v>33</v>
      </c>
      <c r="AR392" s="3">
        <v>36</v>
      </c>
      <c r="AW392" s="3">
        <v>175000</v>
      </c>
      <c r="AX392" s="3">
        <v>219846</v>
      </c>
      <c r="AY392" s="3">
        <v>79.6013094233451</v>
      </c>
      <c r="AZ392" s="3" t="s">
        <v>82</v>
      </c>
      <c r="BB392" s="3" t="s">
        <v>2025</v>
      </c>
      <c r="BC392" s="3" t="s">
        <v>2026</v>
      </c>
      <c r="BD392" s="8">
        <v>2</v>
      </c>
    </row>
    <row r="393" spans="1:56" ht="14.25" customHeight="1" thickBot="1">
      <c r="A393" s="3" t="s">
        <v>2027</v>
      </c>
      <c r="B393" s="3" t="s">
        <v>1708</v>
      </c>
      <c r="C393" s="3" t="s">
        <v>313</v>
      </c>
      <c r="E393" s="3" t="s">
        <v>71</v>
      </c>
      <c r="F393" s="3">
        <f t="shared" si="2"/>
        <v>3</v>
      </c>
      <c r="G393" s="3" t="s">
        <v>119</v>
      </c>
      <c r="H393" s="3">
        <f t="shared" si="3"/>
        <v>3</v>
      </c>
      <c r="I393" s="3" t="s">
        <v>122</v>
      </c>
      <c r="M393" s="3" t="s">
        <v>97</v>
      </c>
      <c r="N393" s="3" t="s">
        <v>98</v>
      </c>
      <c r="O393" s="3" t="s">
        <v>78</v>
      </c>
      <c r="P393" s="3" t="s">
        <v>79</v>
      </c>
      <c r="Q393" s="3" t="s">
        <v>2028</v>
      </c>
      <c r="S393" s="18">
        <v>0</v>
      </c>
      <c r="T393" s="18">
        <v>18.79</v>
      </c>
      <c r="U393" s="18">
        <v>39.65</v>
      </c>
      <c r="AC393" s="3" t="s">
        <v>102</v>
      </c>
      <c r="AD393" s="5">
        <v>40.594695713939302</v>
      </c>
      <c r="AE393" s="17">
        <v>-122.48444777382799</v>
      </c>
      <c r="AH393" s="3">
        <v>2013</v>
      </c>
      <c r="AI393" s="3">
        <v>9</v>
      </c>
      <c r="AJ393" s="8">
        <v>9</v>
      </c>
      <c r="AK393" s="3">
        <v>2013</v>
      </c>
      <c r="AL393" s="3">
        <v>9</v>
      </c>
      <c r="AM393" s="3">
        <v>15</v>
      </c>
      <c r="AN393" s="29">
        <v>1</v>
      </c>
      <c r="AO393" s="3">
        <v>6</v>
      </c>
      <c r="AP393" s="3">
        <v>15</v>
      </c>
      <c r="AQ393" s="3">
        <v>204</v>
      </c>
      <c r="AR393" s="3">
        <v>225</v>
      </c>
      <c r="AW393" s="3">
        <v>10000</v>
      </c>
      <c r="AX393" s="3">
        <v>12563</v>
      </c>
      <c r="AY393" s="3">
        <v>79.6013094233451</v>
      </c>
      <c r="AZ393" s="3" t="s">
        <v>82</v>
      </c>
      <c r="BB393" s="3" t="s">
        <v>907</v>
      </c>
      <c r="BC393" s="3" t="s">
        <v>908</v>
      </c>
      <c r="BD393" s="8">
        <v>3</v>
      </c>
    </row>
    <row r="394" spans="1:56" ht="14.25" customHeight="1" thickBot="1">
      <c r="A394" s="3" t="s">
        <v>2029</v>
      </c>
      <c r="B394" s="3" t="s">
        <v>1719</v>
      </c>
      <c r="C394" s="3" t="s">
        <v>2030</v>
      </c>
      <c r="E394" s="3" t="s">
        <v>71</v>
      </c>
      <c r="F394" s="3">
        <f t="shared" si="2"/>
        <v>1</v>
      </c>
      <c r="G394" s="3" t="s">
        <v>94</v>
      </c>
      <c r="H394" s="3">
        <f t="shared" si="3"/>
        <v>1</v>
      </c>
      <c r="I394" s="3" t="s">
        <v>95</v>
      </c>
      <c r="J394" s="3" t="s">
        <v>185</v>
      </c>
      <c r="M394" s="3" t="s">
        <v>76</v>
      </c>
      <c r="N394" s="3" t="s">
        <v>77</v>
      </c>
      <c r="O394" s="3" t="s">
        <v>78</v>
      </c>
      <c r="P394" s="3" t="s">
        <v>79</v>
      </c>
      <c r="Q394" s="3" t="s">
        <v>2031</v>
      </c>
      <c r="S394" s="18">
        <v>63.08</v>
      </c>
      <c r="T394" s="18">
        <v>17.22</v>
      </c>
      <c r="U394" s="18">
        <v>28.16</v>
      </c>
      <c r="V394" s="3" t="s">
        <v>2032</v>
      </c>
      <c r="AC394" s="3" t="s">
        <v>102</v>
      </c>
      <c r="AD394" s="5">
        <v>43.319755266666803</v>
      </c>
      <c r="AE394" s="17">
        <v>-79.811089448149104</v>
      </c>
      <c r="AH394" s="3">
        <v>2014</v>
      </c>
      <c r="AI394" s="3">
        <v>8</v>
      </c>
      <c r="AJ394" s="8">
        <v>4</v>
      </c>
      <c r="AK394" s="3">
        <v>2014</v>
      </c>
      <c r="AL394" s="3">
        <v>8</v>
      </c>
      <c r="AM394" s="3">
        <v>4</v>
      </c>
      <c r="AN394" s="29">
        <v>0</v>
      </c>
      <c r="AO394" s="3">
        <v>4</v>
      </c>
      <c r="AP394" s="3">
        <v>6900</v>
      </c>
      <c r="AR394" s="3">
        <v>6904</v>
      </c>
      <c r="AU394" s="3">
        <v>87000</v>
      </c>
      <c r="AV394" s="3">
        <v>107550</v>
      </c>
      <c r="AW394" s="3">
        <v>129000</v>
      </c>
      <c r="AX394" s="3">
        <v>159471</v>
      </c>
      <c r="AY394" s="3">
        <v>80.8926237222027</v>
      </c>
      <c r="AZ394" s="3" t="s">
        <v>82</v>
      </c>
      <c r="BB394" s="3" t="s">
        <v>2033</v>
      </c>
      <c r="BC394" s="3" t="s">
        <v>2034</v>
      </c>
      <c r="BD394" s="8">
        <v>4</v>
      </c>
    </row>
    <row r="395" spans="1:56" ht="14.25" customHeight="1" thickBot="1">
      <c r="A395" s="3" t="s">
        <v>2035</v>
      </c>
      <c r="B395" s="3" t="s">
        <v>1719</v>
      </c>
      <c r="C395" s="3" t="s">
        <v>1720</v>
      </c>
      <c r="E395" s="3" t="s">
        <v>71</v>
      </c>
      <c r="F395" s="3">
        <f t="shared" si="2"/>
        <v>2</v>
      </c>
      <c r="G395" s="3" t="s">
        <v>72</v>
      </c>
      <c r="H395" s="3">
        <f t="shared" si="3"/>
        <v>4</v>
      </c>
      <c r="I395" s="3" t="s">
        <v>219</v>
      </c>
      <c r="J395" s="3" t="s">
        <v>114</v>
      </c>
      <c r="M395" s="3" t="s">
        <v>97</v>
      </c>
      <c r="N395" s="3" t="s">
        <v>98</v>
      </c>
      <c r="O395" s="3" t="s">
        <v>78</v>
      </c>
      <c r="P395" s="3" t="s">
        <v>79</v>
      </c>
      <c r="Q395" s="3" t="s">
        <v>2036</v>
      </c>
      <c r="S395" s="18">
        <v>4.84</v>
      </c>
      <c r="T395" s="18">
        <v>-9.4499999999999993</v>
      </c>
      <c r="U395" s="18">
        <v>8.42</v>
      </c>
      <c r="Z395" s="3" t="s">
        <v>264</v>
      </c>
      <c r="AB395" s="3">
        <v>-37</v>
      </c>
      <c r="AC395" s="3" t="s">
        <v>222</v>
      </c>
      <c r="AD395" s="5">
        <v>40.785624142933699</v>
      </c>
      <c r="AE395" s="17">
        <v>-73.954631118819805</v>
      </c>
      <c r="AH395" s="3">
        <v>2014</v>
      </c>
      <c r="AI395" s="3">
        <v>1</v>
      </c>
      <c r="AJ395" s="8">
        <v>5</v>
      </c>
      <c r="AK395" s="3">
        <v>2014</v>
      </c>
      <c r="AL395" s="3">
        <v>1</v>
      </c>
      <c r="AM395" s="3">
        <v>8</v>
      </c>
      <c r="AN395" s="29">
        <v>21</v>
      </c>
      <c r="AU395" s="3">
        <v>1600000</v>
      </c>
      <c r="AV395" s="3">
        <v>1977931</v>
      </c>
      <c r="AW395" s="3">
        <v>2500000</v>
      </c>
      <c r="AX395" s="3">
        <v>3090517</v>
      </c>
      <c r="AY395" s="3">
        <v>80.8926237222027</v>
      </c>
      <c r="AZ395" s="3" t="s">
        <v>89</v>
      </c>
      <c r="BA395" s="3" t="s">
        <v>2037</v>
      </c>
      <c r="BC395" s="3" t="s">
        <v>2038</v>
      </c>
      <c r="BD395" s="8">
        <v>0</v>
      </c>
    </row>
    <row r="396" spans="1:56" ht="14.25" customHeight="1" thickBot="1">
      <c r="A396" s="3" t="s">
        <v>2039</v>
      </c>
      <c r="B396" s="3" t="s">
        <v>2040</v>
      </c>
      <c r="C396" s="3" t="s">
        <v>2041</v>
      </c>
      <c r="E396" s="3" t="s">
        <v>71</v>
      </c>
      <c r="F396" s="3">
        <f t="shared" si="2"/>
        <v>3</v>
      </c>
      <c r="G396" s="3" t="s">
        <v>119</v>
      </c>
      <c r="H396" s="3">
        <f t="shared" si="3"/>
        <v>3</v>
      </c>
      <c r="I396" s="3" t="s">
        <v>122</v>
      </c>
      <c r="J396" s="3" t="s">
        <v>227</v>
      </c>
      <c r="M396" s="3" t="s">
        <v>76</v>
      </c>
      <c r="N396" s="3" t="s">
        <v>77</v>
      </c>
      <c r="O396" s="3" t="s">
        <v>78</v>
      </c>
      <c r="P396" s="3" t="s">
        <v>79</v>
      </c>
      <c r="Q396" s="3" t="s">
        <v>2042</v>
      </c>
      <c r="R396" s="3" t="s">
        <v>2043</v>
      </c>
      <c r="S396" s="18">
        <v>13.85</v>
      </c>
      <c r="T396" s="18">
        <v>12.25</v>
      </c>
      <c r="U396" s="18">
        <v>24.18</v>
      </c>
      <c r="AC396" s="3" t="s">
        <v>102</v>
      </c>
      <c r="AD396" s="5">
        <v>50.969976251093499</v>
      </c>
      <c r="AE396" s="17">
        <v>-113.920150721235</v>
      </c>
      <c r="AH396" s="3">
        <v>2015</v>
      </c>
      <c r="AI396" s="3">
        <v>7</v>
      </c>
      <c r="AJ396" s="8">
        <v>1</v>
      </c>
      <c r="AK396" s="3">
        <v>2015</v>
      </c>
      <c r="AL396" s="3">
        <v>7</v>
      </c>
      <c r="AM396" s="3">
        <v>10</v>
      </c>
      <c r="AN396" s="29">
        <v>0</v>
      </c>
      <c r="AP396" s="3">
        <v>13000</v>
      </c>
      <c r="AQ396" s="3">
        <v>36</v>
      </c>
      <c r="AR396" s="3">
        <v>13036</v>
      </c>
      <c r="AY396" s="3">
        <v>80.988578990590796</v>
      </c>
      <c r="AZ396" s="3" t="s">
        <v>89</v>
      </c>
      <c r="BA396" s="3" t="s">
        <v>2044</v>
      </c>
      <c r="BC396" s="3" t="s">
        <v>2045</v>
      </c>
      <c r="BD396" s="8">
        <v>5</v>
      </c>
    </row>
    <row r="397" spans="1:56" ht="14.25" customHeight="1" thickBot="1">
      <c r="A397" s="3" t="s">
        <v>2046</v>
      </c>
      <c r="B397" s="3" t="s">
        <v>2047</v>
      </c>
      <c r="C397" s="3" t="s">
        <v>1661</v>
      </c>
      <c r="E397" s="3" t="s">
        <v>71</v>
      </c>
      <c r="F397" s="3">
        <f t="shared" si="2"/>
        <v>3</v>
      </c>
      <c r="G397" s="3" t="s">
        <v>119</v>
      </c>
      <c r="H397" s="3">
        <f t="shared" si="3"/>
        <v>3</v>
      </c>
      <c r="I397" s="3" t="s">
        <v>122</v>
      </c>
      <c r="J397" s="3" t="s">
        <v>227</v>
      </c>
      <c r="L397" s="3" t="s">
        <v>2048</v>
      </c>
      <c r="M397" s="3" t="s">
        <v>76</v>
      </c>
      <c r="N397" s="3" t="s">
        <v>77</v>
      </c>
      <c r="O397" s="3" t="s">
        <v>78</v>
      </c>
      <c r="P397" s="3" t="s">
        <v>79</v>
      </c>
      <c r="Q397" s="3" t="s">
        <v>2049</v>
      </c>
      <c r="S397" s="18">
        <v>0</v>
      </c>
      <c r="T397" s="18">
        <v>2.4500000000000002</v>
      </c>
      <c r="U397" s="18">
        <v>25.46</v>
      </c>
      <c r="V397" s="3" t="s">
        <v>2050</v>
      </c>
      <c r="X397" s="3" t="s">
        <v>264</v>
      </c>
      <c r="AB397" s="3">
        <v>6000</v>
      </c>
      <c r="AC397" s="3" t="s">
        <v>102</v>
      </c>
      <c r="AD397" s="5">
        <v>56.717869768455799</v>
      </c>
      <c r="AE397" s="17">
        <v>-111.38286443308201</v>
      </c>
      <c r="AH397" s="3">
        <v>2016</v>
      </c>
      <c r="AI397" s="3">
        <v>5</v>
      </c>
      <c r="AJ397" s="8">
        <v>1</v>
      </c>
      <c r="AK397" s="3">
        <v>2016</v>
      </c>
      <c r="AL397" s="3">
        <v>7</v>
      </c>
      <c r="AM397" s="3">
        <v>4</v>
      </c>
      <c r="AN397" s="29">
        <v>0</v>
      </c>
      <c r="AP397" s="3">
        <v>88000</v>
      </c>
      <c r="AR397" s="3">
        <v>88000</v>
      </c>
      <c r="AU397" s="3">
        <v>2900000</v>
      </c>
      <c r="AV397" s="3">
        <v>3536140</v>
      </c>
      <c r="AW397" s="3">
        <v>4000000</v>
      </c>
      <c r="AX397" s="3">
        <v>4877434</v>
      </c>
      <c r="AY397" s="3">
        <v>82.010330903135994</v>
      </c>
      <c r="AZ397" s="3" t="s">
        <v>82</v>
      </c>
      <c r="BB397" s="3" t="s">
        <v>2051</v>
      </c>
      <c r="BC397" s="3" t="s">
        <v>2052</v>
      </c>
      <c r="BD397" s="8">
        <v>5</v>
      </c>
    </row>
    <row r="398" spans="1:56" ht="14.25" customHeight="1" thickBot="1">
      <c r="A398" s="3" t="s">
        <v>2053</v>
      </c>
      <c r="B398" s="3" t="s">
        <v>2047</v>
      </c>
      <c r="C398" s="3" t="s">
        <v>2054</v>
      </c>
      <c r="E398" s="3" t="s">
        <v>71</v>
      </c>
      <c r="F398" s="3">
        <f t="shared" si="2"/>
        <v>1</v>
      </c>
      <c r="G398" s="3" t="s">
        <v>94</v>
      </c>
      <c r="H398" s="3">
        <f t="shared" si="3"/>
        <v>1</v>
      </c>
      <c r="I398" s="3" t="s">
        <v>95</v>
      </c>
      <c r="M398" s="3" t="s">
        <v>76</v>
      </c>
      <c r="N398" s="3" t="s">
        <v>77</v>
      </c>
      <c r="O398" s="3" t="s">
        <v>78</v>
      </c>
      <c r="P398" s="3" t="s">
        <v>79</v>
      </c>
      <c r="Q398" s="3" t="s">
        <v>2055</v>
      </c>
      <c r="R398" s="3" t="s">
        <v>100</v>
      </c>
      <c r="S398" s="18">
        <v>14</v>
      </c>
      <c r="T398" s="18">
        <v>7.22</v>
      </c>
      <c r="U398" s="18">
        <v>15.19</v>
      </c>
      <c r="Z398" s="3" t="s">
        <v>264</v>
      </c>
      <c r="AB398" s="3">
        <v>176100</v>
      </c>
      <c r="AC398" s="3" t="s">
        <v>102</v>
      </c>
      <c r="AD398" s="8">
        <v>58.292000000000002</v>
      </c>
      <c r="AE398" s="8">
        <v>-123.249</v>
      </c>
      <c r="AH398" s="3">
        <v>2016</v>
      </c>
      <c r="AI398" s="3">
        <v>6</v>
      </c>
      <c r="AJ398" s="8">
        <v>14</v>
      </c>
      <c r="AK398" s="3">
        <v>2016</v>
      </c>
      <c r="AL398" s="3">
        <v>6</v>
      </c>
      <c r="AM398" s="3">
        <v>21</v>
      </c>
      <c r="AN398" s="29">
        <v>0</v>
      </c>
      <c r="AP398" s="3">
        <v>300</v>
      </c>
      <c r="AR398" s="3">
        <v>300</v>
      </c>
      <c r="AY398" s="3">
        <v>82.010330903135994</v>
      </c>
      <c r="AZ398" s="3" t="s">
        <v>82</v>
      </c>
      <c r="BB398" s="3" t="s">
        <v>2056</v>
      </c>
      <c r="BC398" s="3" t="s">
        <v>2057</v>
      </c>
      <c r="BD398" s="8">
        <v>3</v>
      </c>
    </row>
    <row r="399" spans="1:56" ht="14.25" customHeight="1" thickBot="1">
      <c r="A399" s="3" t="s">
        <v>2058</v>
      </c>
      <c r="B399" s="3" t="s">
        <v>1719</v>
      </c>
      <c r="C399" s="3" t="s">
        <v>2059</v>
      </c>
      <c r="E399" s="3" t="s">
        <v>71</v>
      </c>
      <c r="F399" s="3">
        <f t="shared" si="2"/>
        <v>1</v>
      </c>
      <c r="G399" s="3" t="s">
        <v>94</v>
      </c>
      <c r="H399" s="3">
        <f t="shared" si="3"/>
        <v>1</v>
      </c>
      <c r="I399" s="3" t="s">
        <v>95</v>
      </c>
      <c r="J399" s="3" t="s">
        <v>185</v>
      </c>
      <c r="M399" s="3" t="s">
        <v>371</v>
      </c>
      <c r="N399" s="3" t="s">
        <v>372</v>
      </c>
      <c r="O399" s="3" t="s">
        <v>373</v>
      </c>
      <c r="P399" s="3" t="s">
        <v>79</v>
      </c>
      <c r="Q399" s="3" t="s">
        <v>725</v>
      </c>
      <c r="S399" s="18">
        <v>7.58</v>
      </c>
      <c r="T399" s="18">
        <v>20.99</v>
      </c>
      <c r="U399" s="18">
        <v>29.57</v>
      </c>
      <c r="AC399" s="3" t="s">
        <v>102</v>
      </c>
      <c r="AD399" s="6">
        <v>18.468679999999999</v>
      </c>
      <c r="AE399" s="6">
        <v>-67.154452000000006</v>
      </c>
      <c r="AH399" s="3">
        <v>2014</v>
      </c>
      <c r="AI399" s="3">
        <v>11</v>
      </c>
      <c r="AJ399" s="8">
        <v>3</v>
      </c>
      <c r="AK399" s="3">
        <v>2014</v>
      </c>
      <c r="AL399" s="3">
        <v>11</v>
      </c>
      <c r="AM399" s="3">
        <v>5</v>
      </c>
      <c r="AN399" s="29">
        <v>1</v>
      </c>
      <c r="AY399" s="3">
        <v>80.8926237222027</v>
      </c>
      <c r="AZ399" s="3" t="s">
        <v>89</v>
      </c>
      <c r="BA399" s="3" t="s">
        <v>726</v>
      </c>
      <c r="BC399" s="3" t="s">
        <v>727</v>
      </c>
      <c r="BD399" s="8">
        <v>0</v>
      </c>
    </row>
    <row r="400" spans="1:56" ht="14.25" customHeight="1" thickBot="1">
      <c r="A400" s="3" t="s">
        <v>2060</v>
      </c>
      <c r="B400" s="3" t="s">
        <v>333</v>
      </c>
      <c r="C400" s="3" t="s">
        <v>2061</v>
      </c>
      <c r="E400" s="3" t="s">
        <v>71</v>
      </c>
      <c r="F400" s="3">
        <f t="shared" si="2"/>
        <v>2</v>
      </c>
      <c r="G400" s="3" t="s">
        <v>72</v>
      </c>
      <c r="H400" s="3">
        <f t="shared" si="3"/>
        <v>2</v>
      </c>
      <c r="I400" s="3" t="s">
        <v>73</v>
      </c>
      <c r="J400" s="3" t="s">
        <v>74</v>
      </c>
      <c r="K400" s="3" t="s">
        <v>127</v>
      </c>
      <c r="M400" s="3" t="s">
        <v>97</v>
      </c>
      <c r="N400" s="3" t="s">
        <v>98</v>
      </c>
      <c r="O400" s="3" t="s">
        <v>78</v>
      </c>
      <c r="P400" s="3" t="s">
        <v>79</v>
      </c>
      <c r="Q400" s="3" t="s">
        <v>2062</v>
      </c>
      <c r="S400" s="18">
        <v>0</v>
      </c>
      <c r="T400" s="18">
        <v>-5.95</v>
      </c>
      <c r="U400" s="18">
        <v>-0.37</v>
      </c>
      <c r="V400" s="3" t="s">
        <v>129</v>
      </c>
      <c r="AC400" s="3" t="s">
        <v>81</v>
      </c>
      <c r="AD400" s="6">
        <v>35.204889999999999</v>
      </c>
      <c r="AE400" s="6">
        <v>-92.447911000000005</v>
      </c>
      <c r="AH400" s="3">
        <v>2003</v>
      </c>
      <c r="AI400" s="3">
        <v>2</v>
      </c>
      <c r="AJ400" s="8">
        <v>26</v>
      </c>
      <c r="AK400" s="3">
        <v>2003</v>
      </c>
      <c r="AL400" s="3">
        <v>2</v>
      </c>
      <c r="AM400" s="3">
        <v>26</v>
      </c>
      <c r="AN400" s="29">
        <v>14</v>
      </c>
      <c r="AY400" s="3">
        <v>62.858459500041299</v>
      </c>
      <c r="AZ400" s="3" t="s">
        <v>89</v>
      </c>
      <c r="BA400" s="3" t="s">
        <v>2063</v>
      </c>
      <c r="BC400" s="3" t="s">
        <v>2064</v>
      </c>
      <c r="BD400" s="8">
        <v>0</v>
      </c>
    </row>
    <row r="401" spans="1:56" ht="14.25" customHeight="1" thickBot="1">
      <c r="A401" s="3" t="s">
        <v>2065</v>
      </c>
      <c r="B401" s="3" t="s">
        <v>1719</v>
      </c>
      <c r="C401" s="3" t="s">
        <v>2066</v>
      </c>
      <c r="E401" s="3" t="s">
        <v>71</v>
      </c>
      <c r="F401" s="3">
        <f t="shared" si="2"/>
        <v>2</v>
      </c>
      <c r="G401" s="3" t="s">
        <v>72</v>
      </c>
      <c r="H401" s="3">
        <f t="shared" si="3"/>
        <v>2</v>
      </c>
      <c r="I401" s="3" t="s">
        <v>73</v>
      </c>
      <c r="J401" s="3" t="s">
        <v>74</v>
      </c>
      <c r="K401" s="3" t="s">
        <v>127</v>
      </c>
      <c r="M401" s="3" t="s">
        <v>97</v>
      </c>
      <c r="N401" s="3" t="s">
        <v>98</v>
      </c>
      <c r="O401" s="3" t="s">
        <v>78</v>
      </c>
      <c r="P401" s="3" t="s">
        <v>79</v>
      </c>
      <c r="Q401" s="3" t="s">
        <v>2067</v>
      </c>
      <c r="S401" s="18">
        <v>0</v>
      </c>
      <c r="T401" s="18">
        <v>11.5</v>
      </c>
      <c r="U401" s="18">
        <v>22.37</v>
      </c>
      <c r="V401" s="3" t="s">
        <v>95</v>
      </c>
      <c r="W401" s="3" t="s">
        <v>101</v>
      </c>
      <c r="Z401" s="3" t="s">
        <v>264</v>
      </c>
      <c r="AB401" s="3">
        <v>230</v>
      </c>
      <c r="AC401" s="3" t="s">
        <v>81</v>
      </c>
      <c r="AD401" s="6">
        <v>34.053690000000003</v>
      </c>
      <c r="AE401" s="6">
        <v>-118.242766</v>
      </c>
      <c r="AH401" s="3">
        <v>2014</v>
      </c>
      <c r="AI401" s="3">
        <v>12</v>
      </c>
      <c r="AJ401" s="8">
        <v>10</v>
      </c>
      <c r="AK401" s="3">
        <v>2014</v>
      </c>
      <c r="AL401" s="3">
        <v>12</v>
      </c>
      <c r="AM401" s="3">
        <v>17</v>
      </c>
      <c r="AN401" s="29">
        <v>3</v>
      </c>
      <c r="AQ401" s="3">
        <v>30</v>
      </c>
      <c r="AR401" s="3">
        <v>30</v>
      </c>
      <c r="AY401" s="3">
        <v>80.8926237222027</v>
      </c>
      <c r="AZ401" s="3" t="s">
        <v>206</v>
      </c>
      <c r="BA401" s="3" t="s">
        <v>596</v>
      </c>
      <c r="BB401" s="3" t="s">
        <v>2068</v>
      </c>
      <c r="BC401" s="3" t="s">
        <v>2069</v>
      </c>
      <c r="BD401" s="8">
        <v>2</v>
      </c>
    </row>
    <row r="402" spans="1:56" ht="14.25" customHeight="1" thickBot="1">
      <c r="A402" s="3" t="s">
        <v>2070</v>
      </c>
      <c r="B402" s="3" t="s">
        <v>1719</v>
      </c>
      <c r="C402" s="3" t="s">
        <v>2071</v>
      </c>
      <c r="E402" s="3" t="s">
        <v>71</v>
      </c>
      <c r="F402" s="3">
        <f t="shared" si="2"/>
        <v>2</v>
      </c>
      <c r="G402" s="3" t="s">
        <v>72</v>
      </c>
      <c r="H402" s="3">
        <f t="shared" si="3"/>
        <v>2</v>
      </c>
      <c r="I402" s="3" t="s">
        <v>73</v>
      </c>
      <c r="J402" s="3" t="s">
        <v>74</v>
      </c>
      <c r="K402" s="3" t="s">
        <v>807</v>
      </c>
      <c r="M402" s="3" t="s">
        <v>97</v>
      </c>
      <c r="N402" s="3" t="s">
        <v>98</v>
      </c>
      <c r="O402" s="3" t="s">
        <v>78</v>
      </c>
      <c r="P402" s="3" t="s">
        <v>79</v>
      </c>
      <c r="Q402" s="3" t="s">
        <v>2072</v>
      </c>
      <c r="S402" s="18">
        <v>0</v>
      </c>
      <c r="T402" s="18">
        <v>8.6199999999999992</v>
      </c>
      <c r="U402" s="18">
        <v>23.86</v>
      </c>
      <c r="V402" s="3" t="s">
        <v>95</v>
      </c>
      <c r="W402" s="3" t="s">
        <v>355</v>
      </c>
      <c r="AB402" s="3">
        <v>60</v>
      </c>
      <c r="AC402" s="3" t="s">
        <v>81</v>
      </c>
      <c r="AD402" s="6">
        <v>38.725180000000002</v>
      </c>
      <c r="AE402" s="6">
        <v>-105.607716</v>
      </c>
      <c r="AH402" s="3">
        <v>2014</v>
      </c>
      <c r="AI402" s="3">
        <v>7</v>
      </c>
      <c r="AJ402" s="8">
        <v>26</v>
      </c>
      <c r="AK402" s="3">
        <v>2014</v>
      </c>
      <c r="AL402" s="3">
        <v>7</v>
      </c>
      <c r="AM402" s="3">
        <v>27</v>
      </c>
      <c r="AN402" s="29">
        <v>0</v>
      </c>
      <c r="AP402" s="3">
        <v>300</v>
      </c>
      <c r="AR402" s="3">
        <v>300</v>
      </c>
      <c r="AU402" s="3">
        <v>200000</v>
      </c>
      <c r="AV402" s="3">
        <v>247241</v>
      </c>
      <c r="AW402" s="3">
        <v>270000</v>
      </c>
      <c r="AX402" s="3">
        <v>333776</v>
      </c>
      <c r="AY402" s="3">
        <v>80.8926237222027</v>
      </c>
      <c r="AZ402" s="3" t="s">
        <v>89</v>
      </c>
      <c r="BA402" s="3" t="s">
        <v>1822</v>
      </c>
      <c r="BC402" s="3" t="s">
        <v>1823</v>
      </c>
      <c r="BD402" s="8">
        <v>3</v>
      </c>
    </row>
    <row r="403" spans="1:56" ht="14.25" customHeight="1" thickBot="1">
      <c r="A403" s="3" t="s">
        <v>2073</v>
      </c>
      <c r="B403" s="3" t="s">
        <v>1719</v>
      </c>
      <c r="C403" s="3" t="s">
        <v>2074</v>
      </c>
      <c r="E403" s="3" t="s">
        <v>71</v>
      </c>
      <c r="F403" s="3">
        <f t="shared" si="2"/>
        <v>2</v>
      </c>
      <c r="G403" s="3" t="s">
        <v>72</v>
      </c>
      <c r="H403" s="3">
        <f t="shared" si="3"/>
        <v>2</v>
      </c>
      <c r="I403" s="3" t="s">
        <v>73</v>
      </c>
      <c r="J403" s="3" t="s">
        <v>74</v>
      </c>
      <c r="K403" s="3" t="s">
        <v>169</v>
      </c>
      <c r="M403" s="3" t="s">
        <v>97</v>
      </c>
      <c r="N403" s="3" t="s">
        <v>98</v>
      </c>
      <c r="O403" s="3" t="s">
        <v>78</v>
      </c>
      <c r="P403" s="3" t="s">
        <v>79</v>
      </c>
      <c r="Q403" s="3" t="s">
        <v>2075</v>
      </c>
      <c r="S403" s="18">
        <v>0</v>
      </c>
      <c r="T403" s="18">
        <v>-3.27</v>
      </c>
      <c r="U403" s="18">
        <v>5.69</v>
      </c>
      <c r="V403" s="3" t="s">
        <v>95</v>
      </c>
      <c r="W403" s="3" t="s">
        <v>355</v>
      </c>
      <c r="AC403" s="3" t="s">
        <v>81</v>
      </c>
      <c r="AD403" s="6">
        <v>38.725180000000002</v>
      </c>
      <c r="AE403" s="6">
        <v>-105.607716</v>
      </c>
      <c r="AH403" s="3">
        <v>2014</v>
      </c>
      <c r="AI403" s="3">
        <v>4</v>
      </c>
      <c r="AJ403" s="8">
        <v>27</v>
      </c>
      <c r="AK403" s="3">
        <v>2014</v>
      </c>
      <c r="AL403" s="3">
        <v>5</v>
      </c>
      <c r="AM403" s="3">
        <v>1</v>
      </c>
      <c r="AN403" s="29">
        <v>40</v>
      </c>
      <c r="AO403" s="3">
        <v>15</v>
      </c>
      <c r="AR403" s="3">
        <v>15</v>
      </c>
      <c r="AU403" s="3">
        <v>1200000</v>
      </c>
      <c r="AV403" s="3">
        <v>1483448</v>
      </c>
      <c r="AW403" s="3">
        <v>2000000</v>
      </c>
      <c r="AX403" s="3">
        <v>2472413</v>
      </c>
      <c r="AY403" s="3">
        <v>80.8926237222027</v>
      </c>
      <c r="AZ403" s="3" t="s">
        <v>89</v>
      </c>
      <c r="BA403" s="3" t="s">
        <v>2076</v>
      </c>
      <c r="BC403" s="3" t="s">
        <v>2077</v>
      </c>
      <c r="BD403" s="8">
        <v>2</v>
      </c>
    </row>
    <row r="404" spans="1:56" ht="14.25" customHeight="1" thickBot="1">
      <c r="A404" s="3" t="s">
        <v>2078</v>
      </c>
      <c r="B404" s="3" t="s">
        <v>1719</v>
      </c>
      <c r="C404" s="3" t="s">
        <v>1807</v>
      </c>
      <c r="E404" s="3" t="s">
        <v>71</v>
      </c>
      <c r="F404" s="3">
        <f t="shared" si="2"/>
        <v>2</v>
      </c>
      <c r="G404" s="3" t="s">
        <v>72</v>
      </c>
      <c r="H404" s="3">
        <f t="shared" si="3"/>
        <v>2</v>
      </c>
      <c r="I404" s="3" t="s">
        <v>73</v>
      </c>
      <c r="J404" s="3" t="s">
        <v>74</v>
      </c>
      <c r="K404" s="3" t="s">
        <v>807</v>
      </c>
      <c r="M404" s="3" t="s">
        <v>97</v>
      </c>
      <c r="N404" s="3" t="s">
        <v>98</v>
      </c>
      <c r="O404" s="3" t="s">
        <v>78</v>
      </c>
      <c r="P404" s="3" t="s">
        <v>79</v>
      </c>
      <c r="Q404" s="3" t="s">
        <v>2079</v>
      </c>
      <c r="S404" s="18">
        <v>2.25</v>
      </c>
      <c r="T404" s="18">
        <v>12.09</v>
      </c>
      <c r="U404" s="18">
        <v>22.01</v>
      </c>
      <c r="V404" s="3" t="s">
        <v>355</v>
      </c>
      <c r="W404" s="3" t="s">
        <v>2032</v>
      </c>
      <c r="Z404" s="3" t="s">
        <v>264</v>
      </c>
      <c r="AB404" s="3">
        <v>160</v>
      </c>
      <c r="AC404" s="3" t="s">
        <v>81</v>
      </c>
      <c r="AD404" s="6">
        <v>35.204889999999999</v>
      </c>
      <c r="AE404" s="6">
        <v>-92.447911000000005</v>
      </c>
      <c r="AH404" s="3">
        <v>2014</v>
      </c>
      <c r="AI404" s="3">
        <v>10</v>
      </c>
      <c r="AJ404" s="8">
        <v>12</v>
      </c>
      <c r="AK404" s="3">
        <v>2014</v>
      </c>
      <c r="AL404" s="3">
        <v>10</v>
      </c>
      <c r="AM404" s="3">
        <v>14</v>
      </c>
      <c r="AN404" s="29">
        <v>2</v>
      </c>
      <c r="AU404" s="3">
        <v>100000</v>
      </c>
      <c r="AV404" s="3">
        <v>123621</v>
      </c>
      <c r="AW404" s="3">
        <v>170000</v>
      </c>
      <c r="AX404" s="3">
        <v>210155</v>
      </c>
      <c r="AY404" s="3">
        <v>80.8926237222027</v>
      </c>
      <c r="AZ404" s="3" t="s">
        <v>89</v>
      </c>
      <c r="BA404" s="3" t="s">
        <v>2080</v>
      </c>
      <c r="BC404" s="3" t="s">
        <v>2081</v>
      </c>
      <c r="BD404" s="8">
        <v>0</v>
      </c>
    </row>
    <row r="405" spans="1:56" ht="14.25" customHeight="1" thickBot="1">
      <c r="A405" s="3" t="s">
        <v>2082</v>
      </c>
      <c r="B405" s="3" t="s">
        <v>1719</v>
      </c>
      <c r="C405" s="3" t="s">
        <v>2083</v>
      </c>
      <c r="E405" s="3" t="s">
        <v>71</v>
      </c>
      <c r="F405" s="3">
        <f t="shared" si="2"/>
        <v>5</v>
      </c>
      <c r="G405" s="3" t="s">
        <v>175</v>
      </c>
      <c r="H405" s="3">
        <f t="shared" si="3"/>
        <v>6</v>
      </c>
      <c r="I405" s="3" t="s">
        <v>176</v>
      </c>
      <c r="J405" s="3" t="s">
        <v>177</v>
      </c>
      <c r="M405" s="3" t="s">
        <v>97</v>
      </c>
      <c r="N405" s="3" t="s">
        <v>98</v>
      </c>
      <c r="O405" s="3" t="s">
        <v>78</v>
      </c>
      <c r="P405" s="3" t="s">
        <v>79</v>
      </c>
      <c r="Q405" s="3" t="s">
        <v>2084</v>
      </c>
      <c r="S405" s="18">
        <v>0</v>
      </c>
      <c r="T405" s="18">
        <v>13.12</v>
      </c>
      <c r="U405" s="18">
        <v>26.79</v>
      </c>
      <c r="V405" s="3" t="s">
        <v>1449</v>
      </c>
      <c r="AB405" s="3">
        <v>6</v>
      </c>
      <c r="AC405" s="3" t="s">
        <v>179</v>
      </c>
      <c r="AD405" s="8">
        <v>38.215170000000001</v>
      </c>
      <c r="AE405" s="8">
        <v>-122.312333</v>
      </c>
      <c r="AF405" s="3" t="s">
        <v>2085</v>
      </c>
      <c r="AH405" s="3">
        <v>2014</v>
      </c>
      <c r="AI405" s="3">
        <v>8</v>
      </c>
      <c r="AJ405" s="8">
        <v>24</v>
      </c>
      <c r="AK405" s="3">
        <v>2014</v>
      </c>
      <c r="AL405" s="3">
        <v>8</v>
      </c>
      <c r="AM405" s="3">
        <v>24</v>
      </c>
      <c r="AN405" s="29">
        <v>1</v>
      </c>
      <c r="AO405" s="3">
        <v>250</v>
      </c>
      <c r="AP405" s="3">
        <v>3000</v>
      </c>
      <c r="AR405" s="3">
        <v>3250</v>
      </c>
      <c r="AU405" s="3">
        <v>150000</v>
      </c>
      <c r="AV405" s="3">
        <v>185431</v>
      </c>
      <c r="AW405" s="3">
        <v>700000</v>
      </c>
      <c r="AX405" s="3">
        <v>865345</v>
      </c>
      <c r="AY405" s="3">
        <v>80.8926237222027</v>
      </c>
      <c r="AZ405" s="3" t="s">
        <v>82</v>
      </c>
      <c r="BB405" s="3" t="s">
        <v>2086</v>
      </c>
      <c r="BC405" s="3" t="s">
        <v>2087</v>
      </c>
      <c r="BD405" s="8">
        <v>4</v>
      </c>
    </row>
    <row r="406" spans="1:56" ht="14.25" customHeight="1" thickBot="1">
      <c r="A406" s="3" t="s">
        <v>2088</v>
      </c>
      <c r="B406" s="3" t="s">
        <v>1719</v>
      </c>
      <c r="C406" s="3" t="s">
        <v>2089</v>
      </c>
      <c r="E406" s="3" t="s">
        <v>71</v>
      </c>
      <c r="F406" s="3">
        <f t="shared" si="2"/>
        <v>1</v>
      </c>
      <c r="G406" s="3" t="s">
        <v>94</v>
      </c>
      <c r="H406" s="3">
        <f t="shared" si="3"/>
        <v>1</v>
      </c>
      <c r="I406" s="3" t="s">
        <v>95</v>
      </c>
      <c r="J406" s="3" t="s">
        <v>185</v>
      </c>
      <c r="M406" s="3" t="s">
        <v>97</v>
      </c>
      <c r="N406" s="3" t="s">
        <v>98</v>
      </c>
      <c r="O406" s="3" t="s">
        <v>78</v>
      </c>
      <c r="P406" s="3" t="s">
        <v>79</v>
      </c>
      <c r="Q406" s="3" t="s">
        <v>2090</v>
      </c>
      <c r="R406" s="3" t="s">
        <v>2091</v>
      </c>
      <c r="S406" s="18">
        <v>18.329999999999998</v>
      </c>
      <c r="T406" s="18">
        <v>14.41</v>
      </c>
      <c r="U406" s="18">
        <v>18.66</v>
      </c>
      <c r="V406" s="3" t="s">
        <v>101</v>
      </c>
      <c r="AC406" s="3" t="s">
        <v>102</v>
      </c>
      <c r="AD406" s="6">
        <v>33.750039999999998</v>
      </c>
      <c r="AE406" s="6">
        <v>-117.870493</v>
      </c>
      <c r="AH406" s="3">
        <v>2014</v>
      </c>
      <c r="AI406" s="3">
        <v>12</v>
      </c>
      <c r="AJ406" s="8">
        <v>2</v>
      </c>
      <c r="AK406" s="3">
        <v>2014</v>
      </c>
      <c r="AL406" s="3">
        <v>12</v>
      </c>
      <c r="AM406" s="3">
        <v>5</v>
      </c>
      <c r="AN406" s="29">
        <v>0</v>
      </c>
      <c r="AU406" s="3">
        <v>50000</v>
      </c>
      <c r="AV406" s="3">
        <v>61810</v>
      </c>
      <c r="AW406" s="3">
        <v>90000</v>
      </c>
      <c r="AX406" s="3">
        <v>111259</v>
      </c>
      <c r="AY406" s="3">
        <v>80.8926237222027</v>
      </c>
      <c r="AZ406" s="3" t="s">
        <v>82</v>
      </c>
      <c r="BB406" s="3" t="s">
        <v>2092</v>
      </c>
      <c r="BC406" s="3" t="s">
        <v>2093</v>
      </c>
      <c r="BD406" s="8">
        <v>0</v>
      </c>
    </row>
    <row r="407" spans="1:56" ht="14.25" customHeight="1" thickBot="1">
      <c r="A407" s="3" t="s">
        <v>2094</v>
      </c>
      <c r="B407" s="3" t="s">
        <v>1719</v>
      </c>
      <c r="C407" s="3" t="s">
        <v>2095</v>
      </c>
      <c r="E407" s="3" t="s">
        <v>71</v>
      </c>
      <c r="F407" s="3">
        <f t="shared" si="2"/>
        <v>2</v>
      </c>
      <c r="G407" s="3" t="s">
        <v>72</v>
      </c>
      <c r="H407" s="3">
        <f t="shared" si="3"/>
        <v>2</v>
      </c>
      <c r="I407" s="3" t="s">
        <v>73</v>
      </c>
      <c r="J407" s="3" t="s">
        <v>74</v>
      </c>
      <c r="K407" s="3" t="s">
        <v>807</v>
      </c>
      <c r="M407" s="3" t="s">
        <v>97</v>
      </c>
      <c r="N407" s="3" t="s">
        <v>98</v>
      </c>
      <c r="O407" s="3" t="s">
        <v>78</v>
      </c>
      <c r="P407" s="3" t="s">
        <v>79</v>
      </c>
      <c r="Q407" s="3" t="s">
        <v>2096</v>
      </c>
      <c r="S407" s="18">
        <v>0</v>
      </c>
      <c r="T407" s="18">
        <v>4.07</v>
      </c>
      <c r="U407" s="18">
        <v>19.54</v>
      </c>
      <c r="V407" s="3" t="s">
        <v>355</v>
      </c>
      <c r="AB407" s="3">
        <v>110</v>
      </c>
      <c r="AC407" s="3" t="s">
        <v>81</v>
      </c>
      <c r="AD407" s="6">
        <v>40.079659999999997</v>
      </c>
      <c r="AE407" s="6">
        <v>-89.433729</v>
      </c>
      <c r="AH407" s="3">
        <v>2014</v>
      </c>
      <c r="AI407" s="3">
        <v>5</v>
      </c>
      <c r="AJ407" s="8">
        <v>18</v>
      </c>
      <c r="AK407" s="3">
        <v>2014</v>
      </c>
      <c r="AL407" s="3">
        <v>5</v>
      </c>
      <c r="AM407" s="3">
        <v>23</v>
      </c>
      <c r="AN407" s="29">
        <v>0</v>
      </c>
      <c r="AU407" s="3">
        <v>2900000</v>
      </c>
      <c r="AV407" s="3">
        <v>3584999</v>
      </c>
      <c r="AW407" s="3">
        <v>3900000</v>
      </c>
      <c r="AX407" s="3">
        <v>4821206</v>
      </c>
      <c r="AY407" s="3">
        <v>80.8926237222027</v>
      </c>
      <c r="AZ407" s="3" t="s">
        <v>89</v>
      </c>
      <c r="BA407" s="3" t="s">
        <v>2097</v>
      </c>
      <c r="BC407" s="3" t="s">
        <v>2098</v>
      </c>
      <c r="BD407" s="8">
        <v>0</v>
      </c>
    </row>
    <row r="408" spans="1:56" ht="14.25" customHeight="1" thickBot="1">
      <c r="A408" s="3" t="s">
        <v>2099</v>
      </c>
      <c r="B408" s="3" t="s">
        <v>1719</v>
      </c>
      <c r="C408" s="3" t="s">
        <v>2100</v>
      </c>
      <c r="E408" s="3" t="s">
        <v>71</v>
      </c>
      <c r="F408" s="3">
        <f t="shared" si="2"/>
        <v>2</v>
      </c>
      <c r="G408" s="3" t="s">
        <v>72</v>
      </c>
      <c r="H408" s="3">
        <f t="shared" si="3"/>
        <v>2</v>
      </c>
      <c r="I408" s="3" t="s">
        <v>73</v>
      </c>
      <c r="J408" s="3" t="s">
        <v>74</v>
      </c>
      <c r="K408" s="3" t="s">
        <v>807</v>
      </c>
      <c r="M408" s="3" t="s">
        <v>97</v>
      </c>
      <c r="N408" s="3" t="s">
        <v>98</v>
      </c>
      <c r="O408" s="3" t="s">
        <v>78</v>
      </c>
      <c r="P408" s="3" t="s">
        <v>79</v>
      </c>
      <c r="Q408" s="3" t="s">
        <v>2101</v>
      </c>
      <c r="S408" s="18">
        <v>10.85</v>
      </c>
      <c r="T408" s="16">
        <v>16.03</v>
      </c>
      <c r="U408" s="18">
        <v>30.09</v>
      </c>
      <c r="V408" s="3" t="s">
        <v>355</v>
      </c>
      <c r="AB408" s="3">
        <v>128</v>
      </c>
      <c r="AC408" s="3" t="s">
        <v>81</v>
      </c>
      <c r="AD408" s="6">
        <v>38.89385</v>
      </c>
      <c r="AE408" s="6">
        <v>-76.988043000000005</v>
      </c>
      <c r="AH408" s="3">
        <v>2014</v>
      </c>
      <c r="AI408" s="3">
        <v>6</v>
      </c>
      <c r="AJ408" s="8">
        <v>3</v>
      </c>
      <c r="AK408" s="3">
        <v>2014</v>
      </c>
      <c r="AL408" s="3">
        <v>6</v>
      </c>
      <c r="AM408" s="3">
        <v>6</v>
      </c>
      <c r="AN408" s="29">
        <v>2</v>
      </c>
      <c r="AO408" s="3">
        <v>36</v>
      </c>
      <c r="AR408" s="3">
        <v>36</v>
      </c>
      <c r="AU408" s="3">
        <v>1300000</v>
      </c>
      <c r="AV408" s="3">
        <v>1607069</v>
      </c>
      <c r="AW408" s="3">
        <v>1600000</v>
      </c>
      <c r="AX408" s="3">
        <v>1977931</v>
      </c>
      <c r="AY408" s="3">
        <v>80.8926237222027</v>
      </c>
      <c r="AZ408" s="3" t="s">
        <v>206</v>
      </c>
      <c r="BA408" s="3" t="s">
        <v>2102</v>
      </c>
      <c r="BB408" s="3" t="s">
        <v>2103</v>
      </c>
      <c r="BC408" s="3" t="s">
        <v>2104</v>
      </c>
      <c r="BD408" s="8">
        <v>2</v>
      </c>
    </row>
    <row r="409" spans="1:56" ht="14.25" customHeight="1" thickBot="1">
      <c r="A409" s="3" t="s">
        <v>2105</v>
      </c>
      <c r="B409" s="3" t="s">
        <v>1719</v>
      </c>
      <c r="C409" s="3" t="s">
        <v>1206</v>
      </c>
      <c r="E409" s="3" t="s">
        <v>71</v>
      </c>
      <c r="F409" s="3">
        <f t="shared" si="2"/>
        <v>2</v>
      </c>
      <c r="G409" s="3" t="s">
        <v>72</v>
      </c>
      <c r="H409" s="3">
        <f t="shared" si="3"/>
        <v>2</v>
      </c>
      <c r="I409" s="3" t="s">
        <v>73</v>
      </c>
      <c r="J409" s="3" t="s">
        <v>74</v>
      </c>
      <c r="K409" s="3" t="s">
        <v>127</v>
      </c>
      <c r="M409" s="3" t="s">
        <v>97</v>
      </c>
      <c r="N409" s="3" t="s">
        <v>98</v>
      </c>
      <c r="O409" s="3" t="s">
        <v>78</v>
      </c>
      <c r="P409" s="3" t="s">
        <v>79</v>
      </c>
      <c r="Q409" s="3" t="s">
        <v>2106</v>
      </c>
      <c r="S409" s="18">
        <v>0</v>
      </c>
      <c r="T409" s="18">
        <v>-13.77</v>
      </c>
      <c r="U409" s="18">
        <v>-5.75</v>
      </c>
      <c r="V409" s="3" t="s">
        <v>114</v>
      </c>
      <c r="Z409" s="3" t="s">
        <v>264</v>
      </c>
      <c r="AC409" s="3" t="s">
        <v>81</v>
      </c>
      <c r="AD409" s="6">
        <v>40.079659999999997</v>
      </c>
      <c r="AE409" s="6">
        <v>-89.433729</v>
      </c>
      <c r="AH409" s="3">
        <v>2014</v>
      </c>
      <c r="AI409" s="3">
        <v>2</v>
      </c>
      <c r="AJ409" s="8">
        <v>2</v>
      </c>
      <c r="AK409" s="3">
        <v>2014</v>
      </c>
      <c r="AL409" s="3">
        <v>2</v>
      </c>
      <c r="AM409" s="3">
        <v>6</v>
      </c>
      <c r="AN409" s="29">
        <v>9</v>
      </c>
      <c r="AU409" s="3">
        <v>150000</v>
      </c>
      <c r="AV409" s="3">
        <v>185431</v>
      </c>
      <c r="AW409" s="3">
        <v>250000</v>
      </c>
      <c r="AX409" s="3">
        <v>309052</v>
      </c>
      <c r="AY409" s="3">
        <v>80.8926237222027</v>
      </c>
      <c r="AZ409" s="3" t="s">
        <v>89</v>
      </c>
      <c r="BA409" s="3" t="s">
        <v>2107</v>
      </c>
      <c r="BC409" s="3" t="s">
        <v>2108</v>
      </c>
      <c r="BD409" s="8">
        <v>0</v>
      </c>
    </row>
    <row r="410" spans="1:56" ht="14.25" customHeight="1" thickBot="1">
      <c r="A410" s="3" t="s">
        <v>2109</v>
      </c>
      <c r="B410" s="3" t="s">
        <v>1719</v>
      </c>
      <c r="C410" s="3" t="s">
        <v>2110</v>
      </c>
      <c r="E410" s="3" t="s">
        <v>71</v>
      </c>
      <c r="F410" s="3">
        <f t="shared" si="2"/>
        <v>2</v>
      </c>
      <c r="G410" s="3" t="s">
        <v>72</v>
      </c>
      <c r="H410" s="3">
        <f t="shared" si="3"/>
        <v>2</v>
      </c>
      <c r="I410" s="3" t="s">
        <v>73</v>
      </c>
      <c r="J410" s="3" t="s">
        <v>74</v>
      </c>
      <c r="K410" s="3" t="s">
        <v>127</v>
      </c>
      <c r="M410" s="3" t="s">
        <v>97</v>
      </c>
      <c r="N410" s="3" t="s">
        <v>98</v>
      </c>
      <c r="O410" s="3" t="s">
        <v>78</v>
      </c>
      <c r="P410" s="3" t="s">
        <v>79</v>
      </c>
      <c r="Q410" s="3" t="s">
        <v>2111</v>
      </c>
      <c r="S410" s="18">
        <v>0</v>
      </c>
      <c r="T410" s="18">
        <v>-7.97</v>
      </c>
      <c r="U410" s="18">
        <v>-0.19</v>
      </c>
      <c r="V410" s="3" t="s">
        <v>114</v>
      </c>
      <c r="Z410" s="3" t="s">
        <v>264</v>
      </c>
      <c r="AC410" s="3" t="s">
        <v>81</v>
      </c>
      <c r="AD410" s="6">
        <v>38.89385</v>
      </c>
      <c r="AE410" s="6">
        <v>-76.988043000000005</v>
      </c>
      <c r="AH410" s="3">
        <v>2014</v>
      </c>
      <c r="AI410" s="3">
        <v>2</v>
      </c>
      <c r="AJ410" s="8">
        <v>11</v>
      </c>
      <c r="AK410" s="3">
        <v>2014</v>
      </c>
      <c r="AL410" s="3">
        <v>2</v>
      </c>
      <c r="AM410" s="3">
        <v>14</v>
      </c>
      <c r="AN410" s="29">
        <v>25</v>
      </c>
      <c r="AU410" s="3">
        <v>280000</v>
      </c>
      <c r="AV410" s="3">
        <v>346138</v>
      </c>
      <c r="AW410" s="3">
        <v>750000</v>
      </c>
      <c r="AX410" s="3">
        <v>927155</v>
      </c>
      <c r="AY410" s="3">
        <v>80.8926237222027</v>
      </c>
      <c r="AZ410" s="3" t="s">
        <v>89</v>
      </c>
      <c r="BA410" s="3" t="s">
        <v>2112</v>
      </c>
      <c r="BC410" s="3" t="s">
        <v>2113</v>
      </c>
      <c r="BD410" s="8">
        <v>0</v>
      </c>
    </row>
    <row r="411" spans="1:56" ht="14.25" customHeight="1" thickBot="1">
      <c r="A411" s="3" t="s">
        <v>2114</v>
      </c>
      <c r="B411" s="3" t="s">
        <v>1719</v>
      </c>
      <c r="C411" s="3" t="s">
        <v>87</v>
      </c>
      <c r="E411" s="3" t="s">
        <v>71</v>
      </c>
      <c r="F411" s="3">
        <f t="shared" si="2"/>
        <v>2</v>
      </c>
      <c r="G411" s="3" t="s">
        <v>72</v>
      </c>
      <c r="H411" s="3">
        <f t="shared" si="3"/>
        <v>2</v>
      </c>
      <c r="I411" s="3" t="s">
        <v>73</v>
      </c>
      <c r="J411" s="3" t="s">
        <v>74</v>
      </c>
      <c r="K411" s="3" t="s">
        <v>127</v>
      </c>
      <c r="M411" s="3" t="s">
        <v>97</v>
      </c>
      <c r="N411" s="3" t="s">
        <v>98</v>
      </c>
      <c r="O411" s="3" t="s">
        <v>78</v>
      </c>
      <c r="P411" s="3" t="s">
        <v>79</v>
      </c>
      <c r="Q411" s="3" t="s">
        <v>2115</v>
      </c>
      <c r="S411" s="18">
        <v>7.48</v>
      </c>
      <c r="T411" s="18">
        <v>-8.74</v>
      </c>
      <c r="U411" s="18">
        <v>-1.29</v>
      </c>
      <c r="AC411" s="3" t="s">
        <v>81</v>
      </c>
      <c r="AD411" s="6">
        <v>40.079659999999997</v>
      </c>
      <c r="AE411" s="6">
        <v>-89.433729</v>
      </c>
      <c r="AH411" s="3">
        <v>2014</v>
      </c>
      <c r="AI411" s="3">
        <v>1</v>
      </c>
      <c r="AJ411" s="8">
        <v>1</v>
      </c>
      <c r="AK411" s="3">
        <v>2014</v>
      </c>
      <c r="AL411" s="3">
        <v>1</v>
      </c>
      <c r="AM411" s="3">
        <v>5</v>
      </c>
      <c r="AN411" s="29">
        <v>16</v>
      </c>
      <c r="AU411" s="3">
        <v>200000</v>
      </c>
      <c r="AV411" s="3">
        <v>247241</v>
      </c>
      <c r="AW411" s="3">
        <v>210000</v>
      </c>
      <c r="AX411" s="3">
        <v>259603</v>
      </c>
      <c r="AY411" s="3">
        <v>80.8926237222027</v>
      </c>
      <c r="AZ411" s="3" t="s">
        <v>89</v>
      </c>
      <c r="BA411" s="3" t="s">
        <v>2116</v>
      </c>
      <c r="BC411" s="3" t="s">
        <v>2117</v>
      </c>
      <c r="BD411" s="8">
        <v>0</v>
      </c>
    </row>
    <row r="412" spans="1:56" ht="14.25" customHeight="1" thickBot="1">
      <c r="A412" s="3" t="s">
        <v>2118</v>
      </c>
      <c r="B412" s="3" t="s">
        <v>1719</v>
      </c>
      <c r="C412" s="3" t="s">
        <v>2119</v>
      </c>
      <c r="E412" s="3" t="s">
        <v>71</v>
      </c>
      <c r="F412" s="3">
        <f t="shared" si="2"/>
        <v>2</v>
      </c>
      <c r="G412" s="3" t="s">
        <v>72</v>
      </c>
      <c r="H412" s="3">
        <f t="shared" si="3"/>
        <v>2</v>
      </c>
      <c r="I412" s="3" t="s">
        <v>73</v>
      </c>
      <c r="J412" s="3" t="s">
        <v>74</v>
      </c>
      <c r="K412" s="3" t="s">
        <v>127</v>
      </c>
      <c r="M412" s="3" t="s">
        <v>97</v>
      </c>
      <c r="N412" s="3" t="s">
        <v>98</v>
      </c>
      <c r="O412" s="3" t="s">
        <v>78</v>
      </c>
      <c r="P412" s="3" t="s">
        <v>79</v>
      </c>
      <c r="Q412" s="3" t="s">
        <v>2120</v>
      </c>
      <c r="S412" s="18">
        <v>0</v>
      </c>
      <c r="T412" s="18">
        <v>-2.94</v>
      </c>
      <c r="U412" s="18">
        <v>15.03</v>
      </c>
      <c r="Z412" s="3" t="s">
        <v>264</v>
      </c>
      <c r="AC412" s="3" t="s">
        <v>81</v>
      </c>
      <c r="AD412" s="6">
        <v>32.32938</v>
      </c>
      <c r="AE412" s="6">
        <v>-83.113737</v>
      </c>
      <c r="AH412" s="3">
        <v>2014</v>
      </c>
      <c r="AI412" s="3">
        <v>1</v>
      </c>
      <c r="AJ412" s="8">
        <v>26</v>
      </c>
      <c r="AK412" s="3">
        <v>2014</v>
      </c>
      <c r="AL412" s="3">
        <v>1</v>
      </c>
      <c r="AM412" s="3">
        <v>29</v>
      </c>
      <c r="AN412" s="29">
        <v>13</v>
      </c>
      <c r="AW412" s="3">
        <v>250000</v>
      </c>
      <c r="AX412" s="3">
        <v>309052</v>
      </c>
      <c r="AY412" s="3">
        <v>80.8926237222027</v>
      </c>
      <c r="AZ412" s="3" t="s">
        <v>89</v>
      </c>
      <c r="BA412" s="3" t="s">
        <v>2121</v>
      </c>
      <c r="BC412" s="3" t="s">
        <v>2122</v>
      </c>
      <c r="BD412" s="8">
        <v>0</v>
      </c>
    </row>
    <row r="413" spans="1:56" ht="14.25" customHeight="1" thickBot="1">
      <c r="A413" s="3" t="s">
        <v>2123</v>
      </c>
      <c r="B413" s="3" t="s">
        <v>1719</v>
      </c>
      <c r="C413" s="3" t="s">
        <v>2124</v>
      </c>
      <c r="E413" s="3" t="s">
        <v>71</v>
      </c>
      <c r="F413" s="3">
        <f t="shared" si="2"/>
        <v>2</v>
      </c>
      <c r="G413" s="3" t="s">
        <v>72</v>
      </c>
      <c r="H413" s="3">
        <f t="shared" si="3"/>
        <v>2</v>
      </c>
      <c r="I413" s="3" t="s">
        <v>73</v>
      </c>
      <c r="J413" s="3" t="s">
        <v>74</v>
      </c>
      <c r="K413" s="3" t="s">
        <v>127</v>
      </c>
      <c r="M413" s="3" t="s">
        <v>97</v>
      </c>
      <c r="N413" s="3" t="s">
        <v>98</v>
      </c>
      <c r="O413" s="3" t="s">
        <v>78</v>
      </c>
      <c r="P413" s="3" t="s">
        <v>79</v>
      </c>
      <c r="Q413" s="3" t="s">
        <v>2125</v>
      </c>
      <c r="S413" s="18">
        <v>62.55</v>
      </c>
      <c r="T413" s="18">
        <v>-5.62</v>
      </c>
      <c r="U413" s="18">
        <v>1.1100000000000001</v>
      </c>
      <c r="AC413" s="3" t="s">
        <v>81</v>
      </c>
      <c r="AD413" s="6">
        <v>36.701459999999997</v>
      </c>
      <c r="AE413" s="6">
        <v>-118.75599699999999</v>
      </c>
      <c r="AH413" s="3">
        <v>2014</v>
      </c>
      <c r="AI413" s="3">
        <v>2</v>
      </c>
      <c r="AJ413" s="8">
        <v>28</v>
      </c>
      <c r="AK413" s="3">
        <v>2014</v>
      </c>
      <c r="AL413" s="3">
        <v>3</v>
      </c>
      <c r="AM413" s="3">
        <v>4</v>
      </c>
      <c r="AN413" s="29">
        <v>12</v>
      </c>
      <c r="AW413" s="3">
        <v>2000</v>
      </c>
      <c r="AX413" s="3">
        <v>2472</v>
      </c>
      <c r="AY413" s="3">
        <v>80.8926237222027</v>
      </c>
      <c r="AZ413" s="3" t="s">
        <v>89</v>
      </c>
      <c r="BA413" s="3" t="s">
        <v>2126</v>
      </c>
      <c r="BC413" s="3" t="s">
        <v>2127</v>
      </c>
      <c r="BD413" s="8">
        <v>0</v>
      </c>
    </row>
    <row r="414" spans="1:56" ht="14.25" customHeight="1" thickBot="1">
      <c r="A414" s="3" t="s">
        <v>2128</v>
      </c>
      <c r="B414" s="3" t="s">
        <v>1719</v>
      </c>
      <c r="C414" s="3" t="s">
        <v>2129</v>
      </c>
      <c r="E414" s="3" t="s">
        <v>71</v>
      </c>
      <c r="F414" s="3">
        <f t="shared" si="2"/>
        <v>2</v>
      </c>
      <c r="G414" s="3" t="s">
        <v>72</v>
      </c>
      <c r="H414" s="3">
        <f t="shared" si="3"/>
        <v>2</v>
      </c>
      <c r="I414" s="3" t="s">
        <v>73</v>
      </c>
      <c r="J414" s="3" t="s">
        <v>74</v>
      </c>
      <c r="K414" s="3" t="s">
        <v>127</v>
      </c>
      <c r="M414" s="3" t="s">
        <v>97</v>
      </c>
      <c r="N414" s="3" t="s">
        <v>98</v>
      </c>
      <c r="O414" s="3" t="s">
        <v>78</v>
      </c>
      <c r="P414" s="3" t="s">
        <v>79</v>
      </c>
      <c r="Q414" s="3" t="s">
        <v>2130</v>
      </c>
      <c r="S414" s="18">
        <v>0</v>
      </c>
      <c r="T414" s="18">
        <v>-1.65</v>
      </c>
      <c r="U414" s="18">
        <v>6</v>
      </c>
      <c r="Z414" s="3" t="s">
        <v>264</v>
      </c>
      <c r="AC414" s="3" t="s">
        <v>81</v>
      </c>
      <c r="AD414" s="6">
        <v>40.712730000000001</v>
      </c>
      <c r="AE414" s="6">
        <v>-74.006015000000005</v>
      </c>
      <c r="AH414" s="3">
        <v>2014</v>
      </c>
      <c r="AI414" s="3">
        <v>11</v>
      </c>
      <c r="AJ414" s="8">
        <v>15</v>
      </c>
      <c r="AK414" s="3">
        <v>2014</v>
      </c>
      <c r="AL414" s="3">
        <v>11</v>
      </c>
      <c r="AM414" s="3">
        <v>19</v>
      </c>
      <c r="AN414" s="29">
        <v>13</v>
      </c>
      <c r="AU414" s="3">
        <v>63500</v>
      </c>
      <c r="AV414" s="3">
        <v>78499</v>
      </c>
      <c r="AW414" s="3">
        <v>100000</v>
      </c>
      <c r="AX414" s="3">
        <v>123621</v>
      </c>
      <c r="AY414" s="3">
        <v>80.8926237222027</v>
      </c>
      <c r="AZ414" s="3" t="s">
        <v>89</v>
      </c>
      <c r="BA414" s="3" t="s">
        <v>2131</v>
      </c>
      <c r="BC414" s="3" t="s">
        <v>2132</v>
      </c>
      <c r="BD414" s="8">
        <v>0</v>
      </c>
    </row>
    <row r="415" spans="1:56" ht="14.25" customHeight="1" thickBot="1">
      <c r="A415" s="3" t="s">
        <v>2133</v>
      </c>
      <c r="B415" s="3" t="s">
        <v>1719</v>
      </c>
      <c r="C415" s="3" t="s">
        <v>2134</v>
      </c>
      <c r="E415" s="3" t="s">
        <v>71</v>
      </c>
      <c r="F415" s="3">
        <f t="shared" si="2"/>
        <v>1</v>
      </c>
      <c r="G415" s="3" t="s">
        <v>94</v>
      </c>
      <c r="H415" s="3">
        <f t="shared" si="3"/>
        <v>1</v>
      </c>
      <c r="I415" s="3" t="s">
        <v>95</v>
      </c>
      <c r="J415" s="3" t="s">
        <v>96</v>
      </c>
      <c r="M415" s="3" t="s">
        <v>97</v>
      </c>
      <c r="N415" s="3" t="s">
        <v>98</v>
      </c>
      <c r="O415" s="3" t="s">
        <v>78</v>
      </c>
      <c r="P415" s="3" t="s">
        <v>79</v>
      </c>
      <c r="Q415" s="3" t="s">
        <v>2135</v>
      </c>
      <c r="R415" s="3" t="s">
        <v>2136</v>
      </c>
      <c r="S415" s="18">
        <v>0</v>
      </c>
      <c r="T415" s="18">
        <v>18.84</v>
      </c>
      <c r="U415" s="18">
        <v>28.17</v>
      </c>
      <c r="AC415" s="3" t="s">
        <v>102</v>
      </c>
      <c r="AD415" s="6">
        <v>40.079659999999997</v>
      </c>
      <c r="AE415" s="6">
        <v>-89.433729</v>
      </c>
      <c r="AH415" s="3">
        <v>2014</v>
      </c>
      <c r="AI415" s="3">
        <v>8</v>
      </c>
      <c r="AJ415" s="8">
        <v>11</v>
      </c>
      <c r="AK415" s="3">
        <v>2014</v>
      </c>
      <c r="AL415" s="3">
        <v>8</v>
      </c>
      <c r="AM415" s="3">
        <v>13</v>
      </c>
      <c r="AN415" s="29">
        <v>2</v>
      </c>
      <c r="AP415" s="3">
        <v>102000</v>
      </c>
      <c r="AR415" s="3">
        <v>102000</v>
      </c>
      <c r="AU415" s="3">
        <v>540000</v>
      </c>
      <c r="AV415" s="3">
        <v>667552</v>
      </c>
      <c r="AW415" s="3">
        <v>1600000</v>
      </c>
      <c r="AX415" s="3">
        <v>1977931</v>
      </c>
      <c r="AY415" s="3">
        <v>80.8926237222027</v>
      </c>
      <c r="AZ415" s="3" t="s">
        <v>89</v>
      </c>
      <c r="BA415" s="3" t="s">
        <v>2116</v>
      </c>
      <c r="BC415" s="3" t="s">
        <v>2117</v>
      </c>
      <c r="BD415" s="8">
        <v>6</v>
      </c>
    </row>
    <row r="416" spans="1:56" ht="14.25" customHeight="1" thickBot="1">
      <c r="A416" s="3" t="s">
        <v>2137</v>
      </c>
      <c r="B416" s="3" t="s">
        <v>1719</v>
      </c>
      <c r="C416" s="3" t="s">
        <v>2138</v>
      </c>
      <c r="E416" s="3" t="s">
        <v>71</v>
      </c>
      <c r="F416" s="3">
        <f t="shared" si="2"/>
        <v>1</v>
      </c>
      <c r="G416" s="3" t="s">
        <v>94</v>
      </c>
      <c r="H416" s="3">
        <f t="shared" si="3"/>
        <v>8</v>
      </c>
      <c r="I416" s="3" t="s">
        <v>803</v>
      </c>
      <c r="J416" s="3" t="s">
        <v>803</v>
      </c>
      <c r="M416" s="3" t="s">
        <v>97</v>
      </c>
      <c r="N416" s="3" t="s">
        <v>98</v>
      </c>
      <c r="O416" s="3" t="s">
        <v>78</v>
      </c>
      <c r="P416" s="3" t="s">
        <v>79</v>
      </c>
      <c r="Q416" s="3" t="s">
        <v>2139</v>
      </c>
      <c r="R416" s="3" t="s">
        <v>2140</v>
      </c>
      <c r="S416" s="18">
        <v>0</v>
      </c>
      <c r="T416" s="18">
        <v>-1.39</v>
      </c>
      <c r="U416" s="18">
        <v>8.85</v>
      </c>
      <c r="AD416" s="5">
        <v>48.269120814724403</v>
      </c>
      <c r="AE416" s="17">
        <v>-121.929072396672</v>
      </c>
      <c r="AH416" s="3">
        <v>2014</v>
      </c>
      <c r="AI416" s="3">
        <v>3</v>
      </c>
      <c r="AJ416" s="8">
        <v>22</v>
      </c>
      <c r="AK416" s="3">
        <v>2014</v>
      </c>
      <c r="AL416" s="3">
        <v>3</v>
      </c>
      <c r="AM416" s="3">
        <v>22</v>
      </c>
      <c r="AN416" s="29">
        <v>43</v>
      </c>
      <c r="AQ416" s="3">
        <v>150</v>
      </c>
      <c r="AR416" s="3">
        <v>150</v>
      </c>
      <c r="AW416" s="3">
        <v>20000</v>
      </c>
      <c r="AX416" s="3">
        <v>24724</v>
      </c>
      <c r="AY416" s="3">
        <v>80.8926237222027</v>
      </c>
      <c r="AZ416" s="3" t="s">
        <v>82</v>
      </c>
      <c r="BB416" s="3" t="s">
        <v>2141</v>
      </c>
      <c r="BC416" s="3" t="s">
        <v>2142</v>
      </c>
      <c r="BD416" s="8">
        <v>3</v>
      </c>
    </row>
    <row r="417" spans="1:56" ht="14.25" customHeight="1" thickBot="1">
      <c r="A417" s="3" t="s">
        <v>2143</v>
      </c>
      <c r="B417" s="3" t="s">
        <v>1719</v>
      </c>
      <c r="C417" s="3" t="s">
        <v>510</v>
      </c>
      <c r="E417" s="3" t="s">
        <v>71</v>
      </c>
      <c r="F417" s="3">
        <f t="shared" si="2"/>
        <v>2</v>
      </c>
      <c r="G417" s="3" t="s">
        <v>72</v>
      </c>
      <c r="H417" s="3">
        <f t="shared" si="3"/>
        <v>2</v>
      </c>
      <c r="I417" s="3" t="s">
        <v>73</v>
      </c>
      <c r="J417" s="3" t="s">
        <v>212</v>
      </c>
      <c r="L417" s="3" t="s">
        <v>2144</v>
      </c>
      <c r="M417" s="3" t="s">
        <v>97</v>
      </c>
      <c r="N417" s="3" t="s">
        <v>98</v>
      </c>
      <c r="O417" s="3" t="s">
        <v>78</v>
      </c>
      <c r="P417" s="3" t="s">
        <v>79</v>
      </c>
      <c r="Q417" s="3" t="s">
        <v>2145</v>
      </c>
      <c r="S417" s="18">
        <v>30.59</v>
      </c>
      <c r="T417" s="18">
        <v>22.43</v>
      </c>
      <c r="U417" s="18">
        <v>26.23</v>
      </c>
      <c r="AB417" s="3">
        <v>95</v>
      </c>
      <c r="AC417" s="3" t="s">
        <v>81</v>
      </c>
      <c r="AD417" s="5">
        <v>21.3743935790114</v>
      </c>
      <c r="AE417" s="17">
        <v>-157.82584511340801</v>
      </c>
      <c r="AH417" s="3">
        <v>2014</v>
      </c>
      <c r="AI417" s="3">
        <v>8</v>
      </c>
      <c r="AJ417" s="8">
        <v>8</v>
      </c>
      <c r="AK417" s="3">
        <v>2014</v>
      </c>
      <c r="AL417" s="3">
        <v>8</v>
      </c>
      <c r="AM417" s="3">
        <v>10</v>
      </c>
      <c r="AN417" s="29">
        <v>1</v>
      </c>
      <c r="AP417" s="3">
        <v>834</v>
      </c>
      <c r="AR417" s="3">
        <v>834</v>
      </c>
      <c r="AW417" s="3">
        <v>66000</v>
      </c>
      <c r="AX417" s="3">
        <v>81590</v>
      </c>
      <c r="AY417" s="3">
        <v>80.8926237222027</v>
      </c>
      <c r="AZ417" s="3" t="s">
        <v>89</v>
      </c>
      <c r="BA417" s="3" t="s">
        <v>2146</v>
      </c>
      <c r="BC417" s="3" t="s">
        <v>2147</v>
      </c>
      <c r="BD417" s="8">
        <v>3</v>
      </c>
    </row>
    <row r="418" spans="1:56" ht="14.25" customHeight="1" thickBot="1">
      <c r="A418" s="3" t="s">
        <v>2148</v>
      </c>
      <c r="B418" s="3" t="s">
        <v>1719</v>
      </c>
      <c r="C418" s="3" t="s">
        <v>479</v>
      </c>
      <c r="E418" s="3" t="s">
        <v>71</v>
      </c>
      <c r="F418" s="3">
        <f t="shared" si="2"/>
        <v>3</v>
      </c>
      <c r="G418" s="3" t="s">
        <v>119</v>
      </c>
      <c r="H418" s="3">
        <f t="shared" si="3"/>
        <v>3</v>
      </c>
      <c r="I418" s="3" t="s">
        <v>122</v>
      </c>
      <c r="J418" s="3" t="s">
        <v>227</v>
      </c>
      <c r="M418" s="3" t="s">
        <v>97</v>
      </c>
      <c r="N418" s="3" t="s">
        <v>98</v>
      </c>
      <c r="O418" s="3" t="s">
        <v>78</v>
      </c>
      <c r="P418" s="3" t="s">
        <v>79</v>
      </c>
      <c r="Q418" s="3" t="s">
        <v>2149</v>
      </c>
      <c r="R418" s="3" t="s">
        <v>2150</v>
      </c>
      <c r="S418" s="18">
        <v>0</v>
      </c>
      <c r="T418" s="18">
        <v>10.19</v>
      </c>
      <c r="U418" s="18">
        <v>35.08</v>
      </c>
      <c r="AC418" s="3" t="s">
        <v>102</v>
      </c>
      <c r="AD418" s="5">
        <v>35.646575753309399</v>
      </c>
      <c r="AE418" s="17">
        <v>-101.332664686811</v>
      </c>
      <c r="AH418" s="3">
        <v>2014</v>
      </c>
      <c r="AI418" s="3">
        <v>5</v>
      </c>
      <c r="AJ418" s="8">
        <v>11</v>
      </c>
      <c r="AK418" s="3">
        <v>2014</v>
      </c>
      <c r="AL418" s="3">
        <v>5</v>
      </c>
      <c r="AM418" s="3">
        <v>20</v>
      </c>
      <c r="AN418" s="29">
        <v>2</v>
      </c>
      <c r="AP418" s="3">
        <v>429</v>
      </c>
      <c r="AR418" s="3">
        <v>429</v>
      </c>
      <c r="AW418" s="3">
        <v>100000</v>
      </c>
      <c r="AX418" s="3">
        <v>123621</v>
      </c>
      <c r="AY418" s="3">
        <v>80.8926237222027</v>
      </c>
      <c r="AZ418" s="3" t="s">
        <v>82</v>
      </c>
      <c r="BB418" s="3" t="s">
        <v>2151</v>
      </c>
      <c r="BC418" s="3" t="s">
        <v>2152</v>
      </c>
      <c r="BD418" s="8">
        <v>3</v>
      </c>
    </row>
    <row r="419" spans="1:56" ht="14.25" customHeight="1" thickBot="1">
      <c r="A419" s="3" t="s">
        <v>2153</v>
      </c>
      <c r="B419" s="3" t="s">
        <v>1719</v>
      </c>
      <c r="C419" s="3" t="s">
        <v>2154</v>
      </c>
      <c r="E419" s="3" t="s">
        <v>71</v>
      </c>
      <c r="F419" s="3">
        <f t="shared" si="2"/>
        <v>3</v>
      </c>
      <c r="G419" s="3" t="s">
        <v>119</v>
      </c>
      <c r="H419" s="3">
        <f t="shared" si="3"/>
        <v>7</v>
      </c>
      <c r="I419" s="3" t="s">
        <v>120</v>
      </c>
      <c r="J419" s="3" t="s">
        <v>120</v>
      </c>
      <c r="M419" s="3" t="s">
        <v>97</v>
      </c>
      <c r="N419" s="3" t="s">
        <v>98</v>
      </c>
      <c r="O419" s="3" t="s">
        <v>78</v>
      </c>
      <c r="P419" s="3" t="s">
        <v>79</v>
      </c>
      <c r="Q419" s="3" t="s">
        <v>2155</v>
      </c>
      <c r="S419" s="18">
        <v>0</v>
      </c>
      <c r="T419" s="18">
        <v>1.84</v>
      </c>
      <c r="U419" s="18">
        <v>18.64</v>
      </c>
      <c r="AC419" s="3" t="s">
        <v>102</v>
      </c>
      <c r="AD419" s="5">
        <v>36.607624801111399</v>
      </c>
      <c r="AE419" s="17">
        <v>-120.18412886220101</v>
      </c>
      <c r="AH419" s="3">
        <v>2014</v>
      </c>
      <c r="AI419" s="3">
        <v>1</v>
      </c>
      <c r="AJ419" s="8">
        <v>1</v>
      </c>
      <c r="AK419" s="3">
        <v>2014</v>
      </c>
      <c r="AL419" s="3">
        <v>12</v>
      </c>
      <c r="AN419" s="29">
        <v>0</v>
      </c>
      <c r="AW419" s="3">
        <v>2200000</v>
      </c>
      <c r="AX419" s="3">
        <v>2719655</v>
      </c>
      <c r="AY419" s="3">
        <v>80.8926237222027</v>
      </c>
      <c r="AZ419" s="3" t="s">
        <v>82</v>
      </c>
      <c r="BB419" s="3" t="s">
        <v>2156</v>
      </c>
      <c r="BC419" s="3" t="s">
        <v>2157</v>
      </c>
      <c r="BD419" s="8">
        <v>0</v>
      </c>
    </row>
    <row r="420" spans="1:56" ht="14.25" customHeight="1" thickBot="1">
      <c r="A420" s="3" t="s">
        <v>2158</v>
      </c>
      <c r="B420" s="3" t="s">
        <v>2040</v>
      </c>
      <c r="C420" s="3" t="s">
        <v>1785</v>
      </c>
      <c r="E420" s="3" t="s">
        <v>71</v>
      </c>
      <c r="F420" s="3">
        <f t="shared" si="2"/>
        <v>2</v>
      </c>
      <c r="G420" s="3" t="s">
        <v>72</v>
      </c>
      <c r="H420" s="3">
        <f t="shared" si="3"/>
        <v>2</v>
      </c>
      <c r="I420" s="3" t="s">
        <v>73</v>
      </c>
      <c r="J420" s="3" t="s">
        <v>74</v>
      </c>
      <c r="K420" s="3" t="s">
        <v>807</v>
      </c>
      <c r="M420" s="3" t="s">
        <v>97</v>
      </c>
      <c r="N420" s="3" t="s">
        <v>98</v>
      </c>
      <c r="O420" s="3" t="s">
        <v>78</v>
      </c>
      <c r="P420" s="3" t="s">
        <v>79</v>
      </c>
      <c r="Q420" s="3" t="s">
        <v>2159</v>
      </c>
      <c r="S420" s="18">
        <v>0</v>
      </c>
      <c r="T420" s="18">
        <v>19.28</v>
      </c>
      <c r="U420" s="18">
        <v>29.64</v>
      </c>
      <c r="V420" s="3" t="s">
        <v>95</v>
      </c>
      <c r="W420" s="3" t="s">
        <v>355</v>
      </c>
      <c r="AB420" s="3">
        <v>130</v>
      </c>
      <c r="AC420" s="3" t="s">
        <v>81</v>
      </c>
      <c r="AD420" s="6">
        <v>31.26389</v>
      </c>
      <c r="AE420" s="6">
        <v>-98.545612000000006</v>
      </c>
      <c r="AH420" s="3">
        <v>2015</v>
      </c>
      <c r="AI420" s="3">
        <v>5</v>
      </c>
      <c r="AJ420" s="8">
        <v>6</v>
      </c>
      <c r="AK420" s="3">
        <v>2015</v>
      </c>
      <c r="AL420" s="3">
        <v>5</v>
      </c>
      <c r="AM420" s="3">
        <v>13</v>
      </c>
      <c r="AN420" s="29">
        <v>4</v>
      </c>
      <c r="AU420" s="3">
        <v>800000</v>
      </c>
      <c r="AV420" s="3">
        <v>987794</v>
      </c>
      <c r="AW420" s="3">
        <v>1400000</v>
      </c>
      <c r="AX420" s="3">
        <v>1728639</v>
      </c>
      <c r="AY420" s="3">
        <v>80.988578990590796</v>
      </c>
      <c r="AZ420" s="3" t="s">
        <v>89</v>
      </c>
      <c r="BA420" s="3" t="s">
        <v>2160</v>
      </c>
      <c r="BC420" s="3" t="s">
        <v>2161</v>
      </c>
      <c r="BD420" s="8">
        <v>0</v>
      </c>
    </row>
    <row r="421" spans="1:56" ht="14.25" customHeight="1" thickBot="1">
      <c r="A421" s="3" t="s">
        <v>2162</v>
      </c>
      <c r="B421" s="3" t="s">
        <v>2040</v>
      </c>
      <c r="C421" s="3" t="s">
        <v>2163</v>
      </c>
      <c r="E421" s="3" t="s">
        <v>71</v>
      </c>
      <c r="F421" s="3">
        <f t="shared" si="2"/>
        <v>2</v>
      </c>
      <c r="G421" s="3" t="s">
        <v>72</v>
      </c>
      <c r="H421" s="3">
        <f t="shared" si="3"/>
        <v>2</v>
      </c>
      <c r="I421" s="3" t="s">
        <v>73</v>
      </c>
      <c r="J421" s="3" t="s">
        <v>74</v>
      </c>
      <c r="K421" s="3" t="s">
        <v>807</v>
      </c>
      <c r="M421" s="3" t="s">
        <v>97</v>
      </c>
      <c r="N421" s="3" t="s">
        <v>98</v>
      </c>
      <c r="O421" s="3" t="s">
        <v>78</v>
      </c>
      <c r="P421" s="3" t="s">
        <v>79</v>
      </c>
      <c r="Q421" s="3" t="s">
        <v>2164</v>
      </c>
      <c r="S421" s="18">
        <v>47.29</v>
      </c>
      <c r="T421" s="18">
        <v>9.16</v>
      </c>
      <c r="U421" s="18">
        <v>27.57</v>
      </c>
      <c r="V421" s="3" t="s">
        <v>95</v>
      </c>
      <c r="W421" s="3" t="s">
        <v>355</v>
      </c>
      <c r="AC421" s="3" t="s">
        <v>81</v>
      </c>
      <c r="AD421" s="6">
        <v>30.271129999999999</v>
      </c>
      <c r="AE421" s="6">
        <v>-97.743700000000004</v>
      </c>
      <c r="AH421" s="3">
        <v>2015</v>
      </c>
      <c r="AI421" s="3">
        <v>10</v>
      </c>
      <c r="AJ421" s="8">
        <v>29</v>
      </c>
      <c r="AK421" s="3">
        <v>2015</v>
      </c>
      <c r="AL421" s="3">
        <v>11</v>
      </c>
      <c r="AM421" s="3">
        <v>3</v>
      </c>
      <c r="AN421" s="29">
        <v>6</v>
      </c>
      <c r="AU421" s="3">
        <v>200000</v>
      </c>
      <c r="AV421" s="3">
        <v>246948</v>
      </c>
      <c r="AW421" s="3">
        <v>270000</v>
      </c>
      <c r="AX421" s="3">
        <v>333380</v>
      </c>
      <c r="AY421" s="3">
        <v>80.988578990590796</v>
      </c>
      <c r="AZ421" s="3" t="s">
        <v>206</v>
      </c>
      <c r="BA421" s="3" t="s">
        <v>809</v>
      </c>
      <c r="BB421" s="3" t="s">
        <v>2165</v>
      </c>
      <c r="BC421" s="3" t="s">
        <v>2166</v>
      </c>
      <c r="BD421" s="8">
        <v>0</v>
      </c>
    </row>
    <row r="422" spans="1:56" ht="14.25" customHeight="1" thickBot="1">
      <c r="A422" s="3" t="s">
        <v>2167</v>
      </c>
      <c r="B422" s="3" t="s">
        <v>2040</v>
      </c>
      <c r="C422" s="3" t="s">
        <v>2168</v>
      </c>
      <c r="E422" s="3" t="s">
        <v>71</v>
      </c>
      <c r="F422" s="3">
        <f t="shared" si="2"/>
        <v>2</v>
      </c>
      <c r="G422" s="3" t="s">
        <v>72</v>
      </c>
      <c r="H422" s="3">
        <f t="shared" si="3"/>
        <v>2</v>
      </c>
      <c r="I422" s="3" t="s">
        <v>73</v>
      </c>
      <c r="J422" s="3" t="s">
        <v>74</v>
      </c>
      <c r="K422" s="3" t="s">
        <v>75</v>
      </c>
      <c r="M422" s="3" t="s">
        <v>97</v>
      </c>
      <c r="N422" s="3" t="s">
        <v>98</v>
      </c>
      <c r="O422" s="3" t="s">
        <v>78</v>
      </c>
      <c r="P422" s="3" t="s">
        <v>79</v>
      </c>
      <c r="Q422" s="3" t="s">
        <v>2169</v>
      </c>
      <c r="S422" s="18">
        <v>4.22</v>
      </c>
      <c r="T422" s="18">
        <v>18.2</v>
      </c>
      <c r="U422" s="18">
        <v>27.58</v>
      </c>
      <c r="V422" s="3" t="s">
        <v>95</v>
      </c>
      <c r="W422" s="3" t="s">
        <v>355</v>
      </c>
      <c r="AC422" s="3" t="s">
        <v>81</v>
      </c>
      <c r="AD422" s="6">
        <v>31.26389</v>
      </c>
      <c r="AE422" s="6">
        <v>-98.545612000000006</v>
      </c>
      <c r="AH422" s="3">
        <v>2015</v>
      </c>
      <c r="AI422" s="3">
        <v>4</v>
      </c>
      <c r="AJ422" s="8">
        <v>24</v>
      </c>
      <c r="AK422" s="3">
        <v>2015</v>
      </c>
      <c r="AL422" s="3">
        <v>4</v>
      </c>
      <c r="AM422" s="3">
        <v>28</v>
      </c>
      <c r="AN422" s="29">
        <v>4</v>
      </c>
      <c r="AO422" s="3">
        <v>12</v>
      </c>
      <c r="AR422" s="3">
        <v>12</v>
      </c>
      <c r="AU422" s="3">
        <v>800000</v>
      </c>
      <c r="AV422" s="3">
        <v>987794</v>
      </c>
      <c r="AW422" s="3">
        <v>950000</v>
      </c>
      <c r="AX422" s="3">
        <v>1173005</v>
      </c>
      <c r="AY422" s="3">
        <v>80.988578990590796</v>
      </c>
      <c r="AZ422" s="3" t="s">
        <v>89</v>
      </c>
      <c r="BA422" s="3" t="s">
        <v>2170</v>
      </c>
      <c r="BC422" s="3" t="s">
        <v>2171</v>
      </c>
      <c r="BD422" s="8">
        <v>2</v>
      </c>
    </row>
    <row r="423" spans="1:56" ht="14.25" customHeight="1" thickBot="1">
      <c r="A423" s="3" t="s">
        <v>2172</v>
      </c>
      <c r="B423" s="3" t="s">
        <v>2040</v>
      </c>
      <c r="C423" s="3" t="s">
        <v>1058</v>
      </c>
      <c r="E423" s="3" t="s">
        <v>71</v>
      </c>
      <c r="F423" s="3">
        <f t="shared" si="2"/>
        <v>2</v>
      </c>
      <c r="G423" s="3" t="s">
        <v>72</v>
      </c>
      <c r="H423" s="3">
        <f t="shared" si="3"/>
        <v>2</v>
      </c>
      <c r="I423" s="3" t="s">
        <v>73</v>
      </c>
      <c r="J423" s="3" t="s">
        <v>74</v>
      </c>
      <c r="K423" s="3" t="s">
        <v>75</v>
      </c>
      <c r="M423" s="3" t="s">
        <v>97</v>
      </c>
      <c r="N423" s="3" t="s">
        <v>98</v>
      </c>
      <c r="O423" s="3" t="s">
        <v>78</v>
      </c>
      <c r="P423" s="3" t="s">
        <v>79</v>
      </c>
      <c r="Q423" s="3" t="s">
        <v>2173</v>
      </c>
      <c r="S423" s="18">
        <v>0</v>
      </c>
      <c r="T423" s="18">
        <v>15.32</v>
      </c>
      <c r="U423" s="18">
        <v>30.14</v>
      </c>
      <c r="V423" s="3" t="s">
        <v>95</v>
      </c>
      <c r="W423" s="3" t="s">
        <v>355</v>
      </c>
      <c r="AC423" s="3" t="s">
        <v>81</v>
      </c>
      <c r="AD423" s="6">
        <v>38.273119999999999</v>
      </c>
      <c r="AE423" s="6">
        <v>-98.582187000000005</v>
      </c>
      <c r="AH423" s="3">
        <v>2015</v>
      </c>
      <c r="AI423" s="3">
        <v>5</v>
      </c>
      <c r="AJ423" s="8">
        <v>3</v>
      </c>
      <c r="AK423" s="3">
        <v>2015</v>
      </c>
      <c r="AL423" s="3">
        <v>5</v>
      </c>
      <c r="AM423" s="3">
        <v>5</v>
      </c>
      <c r="AN423" s="29">
        <v>1</v>
      </c>
      <c r="AO423" s="3">
        <v>40</v>
      </c>
      <c r="AR423" s="3">
        <v>40</v>
      </c>
      <c r="AU423" s="3">
        <v>100000</v>
      </c>
      <c r="AV423" s="3">
        <v>123474</v>
      </c>
      <c r="AW423" s="3">
        <v>160000</v>
      </c>
      <c r="AX423" s="3">
        <v>197559</v>
      </c>
      <c r="AY423" s="3">
        <v>80.988578990590796</v>
      </c>
      <c r="AZ423" s="3" t="s">
        <v>89</v>
      </c>
      <c r="BA423" s="3" t="s">
        <v>2174</v>
      </c>
      <c r="BC423" s="3" t="s">
        <v>2175</v>
      </c>
      <c r="BD423" s="8">
        <v>2</v>
      </c>
    </row>
    <row r="424" spans="1:56" ht="14.25" customHeight="1" thickBot="1">
      <c r="A424" s="3" t="s">
        <v>2176</v>
      </c>
      <c r="B424" s="3" t="s">
        <v>2040</v>
      </c>
      <c r="C424" s="3" t="s">
        <v>824</v>
      </c>
      <c r="E424" s="3" t="s">
        <v>71</v>
      </c>
      <c r="F424" s="3">
        <f t="shared" si="2"/>
        <v>2</v>
      </c>
      <c r="G424" s="3" t="s">
        <v>72</v>
      </c>
      <c r="H424" s="3">
        <f t="shared" si="3"/>
        <v>2</v>
      </c>
      <c r="I424" s="3" t="s">
        <v>73</v>
      </c>
      <c r="J424" s="3" t="s">
        <v>74</v>
      </c>
      <c r="K424" s="3" t="s">
        <v>807</v>
      </c>
      <c r="M424" s="3" t="s">
        <v>97</v>
      </c>
      <c r="N424" s="3" t="s">
        <v>98</v>
      </c>
      <c r="O424" s="3" t="s">
        <v>78</v>
      </c>
      <c r="P424" s="3" t="s">
        <v>79</v>
      </c>
      <c r="Q424" s="3" t="s">
        <v>2177</v>
      </c>
      <c r="S424" s="18">
        <v>0</v>
      </c>
      <c r="T424" s="18">
        <v>4.51</v>
      </c>
      <c r="U424" s="18">
        <v>20.62</v>
      </c>
      <c r="V424" s="3" t="s">
        <v>355</v>
      </c>
      <c r="W424" s="3" t="s">
        <v>95</v>
      </c>
      <c r="AC424" s="3" t="s">
        <v>81</v>
      </c>
      <c r="AD424" s="6">
        <v>38.725180000000002</v>
      </c>
      <c r="AE424" s="6">
        <v>-105.607716</v>
      </c>
      <c r="AH424" s="3">
        <v>2015</v>
      </c>
      <c r="AI424" s="3">
        <v>6</v>
      </c>
      <c r="AJ424" s="8">
        <v>3</v>
      </c>
      <c r="AK424" s="3">
        <v>2015</v>
      </c>
      <c r="AL424" s="3">
        <v>6</v>
      </c>
      <c r="AM424" s="3">
        <v>8</v>
      </c>
      <c r="AN424" s="29">
        <v>0</v>
      </c>
      <c r="AU424" s="3">
        <v>450000</v>
      </c>
      <c r="AV424" s="3">
        <v>555634</v>
      </c>
      <c r="AW424" s="3">
        <v>650000</v>
      </c>
      <c r="AX424" s="3">
        <v>802582</v>
      </c>
      <c r="AY424" s="3">
        <v>80.988578990590796</v>
      </c>
      <c r="AZ424" s="3" t="s">
        <v>89</v>
      </c>
      <c r="BA424" s="3" t="s">
        <v>2178</v>
      </c>
      <c r="BC424" s="3" t="s">
        <v>2179</v>
      </c>
      <c r="BD424" s="8">
        <v>0</v>
      </c>
    </row>
    <row r="425" spans="1:56" ht="14.25" customHeight="1" thickBot="1">
      <c r="A425" s="3" t="s">
        <v>2180</v>
      </c>
      <c r="B425" s="3" t="s">
        <v>2040</v>
      </c>
      <c r="C425" s="3" t="s">
        <v>2181</v>
      </c>
      <c r="E425" s="3" t="s">
        <v>71</v>
      </c>
      <c r="F425" s="3">
        <f t="shared" si="2"/>
        <v>2</v>
      </c>
      <c r="G425" s="3" t="s">
        <v>72</v>
      </c>
      <c r="H425" s="3">
        <f t="shared" si="3"/>
        <v>2</v>
      </c>
      <c r="I425" s="3" t="s">
        <v>73</v>
      </c>
      <c r="J425" s="3" t="s">
        <v>74</v>
      </c>
      <c r="K425" s="3" t="s">
        <v>75</v>
      </c>
      <c r="M425" s="3" t="s">
        <v>97</v>
      </c>
      <c r="N425" s="3" t="s">
        <v>98</v>
      </c>
      <c r="O425" s="3" t="s">
        <v>78</v>
      </c>
      <c r="P425" s="3" t="s">
        <v>79</v>
      </c>
      <c r="Q425" s="3" t="s">
        <v>2182</v>
      </c>
      <c r="S425" s="18">
        <v>0.61</v>
      </c>
      <c r="T425" s="18">
        <v>3.76</v>
      </c>
      <c r="U425" s="18">
        <v>9.81</v>
      </c>
      <c r="V425" s="3" t="s">
        <v>355</v>
      </c>
      <c r="W425" s="3" t="s">
        <v>95</v>
      </c>
      <c r="AC425" s="3" t="s">
        <v>81</v>
      </c>
      <c r="AD425" s="5">
        <v>42.099705995123998</v>
      </c>
      <c r="AE425" s="17">
        <v>-88.932618044746903</v>
      </c>
      <c r="AH425" s="3">
        <v>2015</v>
      </c>
      <c r="AI425" s="3">
        <v>4</v>
      </c>
      <c r="AJ425" s="8">
        <v>7</v>
      </c>
      <c r="AK425" s="3">
        <v>2015</v>
      </c>
      <c r="AL425" s="3">
        <v>4</v>
      </c>
      <c r="AM425" s="3">
        <v>10</v>
      </c>
      <c r="AN425" s="29">
        <v>3</v>
      </c>
      <c r="AO425" s="3">
        <v>12</v>
      </c>
      <c r="AR425" s="3">
        <v>12</v>
      </c>
      <c r="AU425" s="3">
        <v>990000</v>
      </c>
      <c r="AV425" s="3">
        <v>1222395</v>
      </c>
      <c r="AW425" s="3">
        <v>1400000</v>
      </c>
      <c r="AX425" s="3">
        <v>1728639</v>
      </c>
      <c r="AY425" s="3">
        <v>80.988578990590796</v>
      </c>
      <c r="AZ425" s="3" t="s">
        <v>206</v>
      </c>
      <c r="BA425" s="3" t="s">
        <v>2183</v>
      </c>
      <c r="BB425" s="3" t="s">
        <v>2184</v>
      </c>
      <c r="BC425" s="3" t="s">
        <v>2185</v>
      </c>
      <c r="BD425" s="8">
        <v>2</v>
      </c>
    </row>
    <row r="426" spans="1:56" ht="14.25" customHeight="1" thickBot="1">
      <c r="A426" s="3" t="s">
        <v>2186</v>
      </c>
      <c r="B426" s="3" t="s">
        <v>2040</v>
      </c>
      <c r="C426" s="3" t="s">
        <v>2187</v>
      </c>
      <c r="E426" s="3" t="s">
        <v>71</v>
      </c>
      <c r="F426" s="3">
        <f t="shared" si="2"/>
        <v>2</v>
      </c>
      <c r="G426" s="3" t="s">
        <v>72</v>
      </c>
      <c r="H426" s="3">
        <f t="shared" si="3"/>
        <v>2</v>
      </c>
      <c r="I426" s="3" t="s">
        <v>73</v>
      </c>
      <c r="J426" s="3" t="s">
        <v>74</v>
      </c>
      <c r="K426" s="3" t="s">
        <v>169</v>
      </c>
      <c r="M426" s="3" t="s">
        <v>97</v>
      </c>
      <c r="N426" s="3" t="s">
        <v>98</v>
      </c>
      <c r="O426" s="3" t="s">
        <v>78</v>
      </c>
      <c r="P426" s="3" t="s">
        <v>79</v>
      </c>
      <c r="Q426" s="3" t="s">
        <v>2188</v>
      </c>
      <c r="S426" s="18">
        <v>0</v>
      </c>
      <c r="T426" s="18">
        <v>19.510000000000002</v>
      </c>
      <c r="U426" s="18">
        <v>31.2</v>
      </c>
      <c r="V426" s="3" t="s">
        <v>2032</v>
      </c>
      <c r="W426" s="3" t="s">
        <v>95</v>
      </c>
      <c r="AC426" s="3" t="s">
        <v>81</v>
      </c>
      <c r="AD426" s="6">
        <v>40.079659999999997</v>
      </c>
      <c r="AE426" s="6">
        <v>-89.433729</v>
      </c>
      <c r="AH426" s="3">
        <v>2015</v>
      </c>
      <c r="AI426" s="3">
        <v>7</v>
      </c>
      <c r="AJ426" s="8">
        <v>12</v>
      </c>
      <c r="AK426" s="3">
        <v>2015</v>
      </c>
      <c r="AL426" s="3">
        <v>7</v>
      </c>
      <c r="AM426" s="3">
        <v>14</v>
      </c>
      <c r="AN426" s="29">
        <v>4</v>
      </c>
      <c r="AU426" s="3">
        <v>450000</v>
      </c>
      <c r="AV426" s="3">
        <v>555634</v>
      </c>
      <c r="AW426" s="3">
        <v>700000</v>
      </c>
      <c r="AX426" s="3">
        <v>864319</v>
      </c>
      <c r="AY426" s="3">
        <v>80.988578990590796</v>
      </c>
      <c r="AZ426" s="3" t="s">
        <v>89</v>
      </c>
      <c r="BA426" s="3" t="s">
        <v>2189</v>
      </c>
      <c r="BC426" s="3" t="s">
        <v>2190</v>
      </c>
      <c r="BD426" s="8">
        <v>0</v>
      </c>
    </row>
    <row r="427" spans="1:56" ht="14.25" customHeight="1" thickBot="1">
      <c r="A427" s="3" t="s">
        <v>2191</v>
      </c>
      <c r="B427" s="3" t="s">
        <v>2040</v>
      </c>
      <c r="C427" s="3" t="s">
        <v>2192</v>
      </c>
      <c r="E427" s="3" t="s">
        <v>71</v>
      </c>
      <c r="F427" s="3">
        <f t="shared" si="2"/>
        <v>3</v>
      </c>
      <c r="G427" s="3" t="s">
        <v>119</v>
      </c>
      <c r="H427" s="3">
        <f t="shared" si="3"/>
        <v>3</v>
      </c>
      <c r="I427" s="3" t="s">
        <v>122</v>
      </c>
      <c r="L427" s="3" t="s">
        <v>2193</v>
      </c>
      <c r="M427" s="3" t="s">
        <v>97</v>
      </c>
      <c r="N427" s="3" t="s">
        <v>98</v>
      </c>
      <c r="O427" s="3" t="s">
        <v>78</v>
      </c>
      <c r="P427" s="3" t="s">
        <v>79</v>
      </c>
      <c r="Q427" s="3" t="s">
        <v>2194</v>
      </c>
      <c r="R427" s="3" t="s">
        <v>2195</v>
      </c>
      <c r="S427" s="18">
        <v>0</v>
      </c>
      <c r="T427" s="18">
        <v>12.77</v>
      </c>
      <c r="U427" s="18">
        <v>26.21</v>
      </c>
      <c r="V427" s="3" t="s">
        <v>2196</v>
      </c>
      <c r="AC427" s="3" t="s">
        <v>102</v>
      </c>
      <c r="AD427" s="6">
        <v>36.701459999999997</v>
      </c>
      <c r="AE427" s="6">
        <v>-118.75599699999999</v>
      </c>
      <c r="AH427" s="3">
        <v>2015</v>
      </c>
      <c r="AI427" s="3">
        <v>8</v>
      </c>
      <c r="AJ427" s="8">
        <v>13</v>
      </c>
      <c r="AK427" s="3">
        <v>2015</v>
      </c>
      <c r="AL427" s="3">
        <v>8</v>
      </c>
      <c r="AM427" s="3">
        <v>31</v>
      </c>
      <c r="AN427" s="29">
        <v>4</v>
      </c>
      <c r="AO427" s="3">
        <v>8</v>
      </c>
      <c r="AP427" s="3">
        <v>600</v>
      </c>
      <c r="AQ427" s="3">
        <v>3900</v>
      </c>
      <c r="AR427" s="3">
        <v>4508</v>
      </c>
      <c r="AW427" s="3">
        <v>150000</v>
      </c>
      <c r="AX427" s="3">
        <v>185211</v>
      </c>
      <c r="AY427" s="3">
        <v>80.988578990590796</v>
      </c>
      <c r="AZ427" s="3" t="s">
        <v>89</v>
      </c>
      <c r="BA427" s="3" t="s">
        <v>2197</v>
      </c>
      <c r="BC427" s="3" t="s">
        <v>2198</v>
      </c>
      <c r="BD427" s="8">
        <v>4</v>
      </c>
    </row>
    <row r="428" spans="1:56" ht="14.25" customHeight="1" thickBot="1">
      <c r="A428" s="3" t="s">
        <v>2199</v>
      </c>
      <c r="B428" s="3" t="s">
        <v>2040</v>
      </c>
      <c r="C428" s="3" t="s">
        <v>2200</v>
      </c>
      <c r="E428" s="3" t="s">
        <v>71</v>
      </c>
      <c r="F428" s="3">
        <f t="shared" si="2"/>
        <v>2</v>
      </c>
      <c r="G428" s="3" t="s">
        <v>72</v>
      </c>
      <c r="H428" s="3">
        <f t="shared" si="3"/>
        <v>2</v>
      </c>
      <c r="I428" s="3" t="s">
        <v>73</v>
      </c>
      <c r="J428" s="3" t="s">
        <v>74</v>
      </c>
      <c r="K428" s="3" t="s">
        <v>75</v>
      </c>
      <c r="M428" s="3" t="s">
        <v>97</v>
      </c>
      <c r="N428" s="3" t="s">
        <v>98</v>
      </c>
      <c r="O428" s="3" t="s">
        <v>78</v>
      </c>
      <c r="P428" s="3" t="s">
        <v>79</v>
      </c>
      <c r="Q428" s="3" t="s">
        <v>2201</v>
      </c>
      <c r="S428" s="18">
        <v>19.97</v>
      </c>
      <c r="T428" s="18">
        <v>8.61</v>
      </c>
      <c r="U428" s="18">
        <v>28</v>
      </c>
      <c r="V428" s="3" t="s">
        <v>355</v>
      </c>
      <c r="AB428" s="3">
        <v>110</v>
      </c>
      <c r="AC428" s="3" t="s">
        <v>81</v>
      </c>
      <c r="AD428" s="6">
        <v>35.330025717415701</v>
      </c>
      <c r="AE428" s="23">
        <v>-97.471676815190193</v>
      </c>
      <c r="AH428" s="3">
        <v>2015</v>
      </c>
      <c r="AI428" s="3">
        <v>3</v>
      </c>
      <c r="AJ428" s="8">
        <v>25</v>
      </c>
      <c r="AK428" s="3">
        <v>2015</v>
      </c>
      <c r="AL428" s="3">
        <v>3</v>
      </c>
      <c r="AM428" s="3">
        <v>26</v>
      </c>
      <c r="AN428" s="29">
        <v>1</v>
      </c>
      <c r="AO428" s="3">
        <v>12</v>
      </c>
      <c r="AP428" s="3">
        <v>3300</v>
      </c>
      <c r="AR428" s="3">
        <v>3312</v>
      </c>
      <c r="AU428" s="3">
        <v>450000</v>
      </c>
      <c r="AV428" s="3">
        <v>555634</v>
      </c>
      <c r="AW428" s="3">
        <v>500000</v>
      </c>
      <c r="AX428" s="3">
        <v>617371</v>
      </c>
      <c r="AY428" s="3">
        <v>80.988578990590796</v>
      </c>
      <c r="AZ428" s="3" t="s">
        <v>206</v>
      </c>
      <c r="BA428" s="3" t="s">
        <v>2202</v>
      </c>
      <c r="BB428" s="3" t="s">
        <v>2203</v>
      </c>
      <c r="BC428" s="3" t="s">
        <v>2204</v>
      </c>
      <c r="BD428" s="8">
        <v>4</v>
      </c>
    </row>
    <row r="429" spans="1:56" ht="14.25" customHeight="1" thickBot="1">
      <c r="A429" s="3" t="s">
        <v>2205</v>
      </c>
      <c r="B429" s="3" t="s">
        <v>2040</v>
      </c>
      <c r="C429" s="3" t="s">
        <v>2206</v>
      </c>
      <c r="E429" s="3" t="s">
        <v>71</v>
      </c>
      <c r="F429" s="3">
        <f t="shared" si="2"/>
        <v>2</v>
      </c>
      <c r="G429" s="3" t="s">
        <v>72</v>
      </c>
      <c r="H429" s="3">
        <f t="shared" si="3"/>
        <v>2</v>
      </c>
      <c r="I429" s="3" t="s">
        <v>73</v>
      </c>
      <c r="J429" s="3" t="s">
        <v>74</v>
      </c>
      <c r="K429" s="3" t="s">
        <v>169</v>
      </c>
      <c r="M429" s="3" t="s">
        <v>97</v>
      </c>
      <c r="N429" s="3" t="s">
        <v>98</v>
      </c>
      <c r="O429" s="3" t="s">
        <v>78</v>
      </c>
      <c r="P429" s="3" t="s">
        <v>79</v>
      </c>
      <c r="Q429" s="3" t="s">
        <v>2207</v>
      </c>
      <c r="S429" s="18">
        <v>20.43</v>
      </c>
      <c r="T429" s="18">
        <v>18.86</v>
      </c>
      <c r="U429" s="18">
        <v>33.56</v>
      </c>
      <c r="V429" s="3" t="s">
        <v>355</v>
      </c>
      <c r="AB429" s="3">
        <v>95</v>
      </c>
      <c r="AC429" s="3" t="s">
        <v>81</v>
      </c>
      <c r="AD429" s="6">
        <v>41.87556</v>
      </c>
      <c r="AE429" s="6">
        <v>-87.624420999999998</v>
      </c>
      <c r="AH429" s="3">
        <v>2015</v>
      </c>
      <c r="AI429" s="3">
        <v>8</v>
      </c>
      <c r="AJ429" s="8">
        <v>2</v>
      </c>
      <c r="AK429" s="3">
        <v>2015</v>
      </c>
      <c r="AL429" s="3">
        <v>8</v>
      </c>
      <c r="AM429" s="3">
        <v>4</v>
      </c>
      <c r="AN429" s="29">
        <v>4</v>
      </c>
      <c r="AO429" s="3">
        <v>40</v>
      </c>
      <c r="AR429" s="3">
        <v>40</v>
      </c>
      <c r="AU429" s="3">
        <v>800000</v>
      </c>
      <c r="AV429" s="3">
        <v>987794</v>
      </c>
      <c r="AW429" s="3">
        <v>950000</v>
      </c>
      <c r="AX429" s="3">
        <v>1173005</v>
      </c>
      <c r="AY429" s="3">
        <v>80.988578990590796</v>
      </c>
      <c r="AZ429" s="3" t="s">
        <v>206</v>
      </c>
      <c r="BA429" s="3" t="s">
        <v>2208</v>
      </c>
      <c r="BB429" s="3" t="s">
        <v>2209</v>
      </c>
      <c r="BC429" s="3" t="s">
        <v>2210</v>
      </c>
      <c r="BD429" s="8">
        <v>2</v>
      </c>
    </row>
    <row r="430" spans="1:56" ht="14.25" customHeight="1" thickBot="1">
      <c r="A430" s="3" t="s">
        <v>2211</v>
      </c>
      <c r="B430" s="3" t="s">
        <v>2040</v>
      </c>
      <c r="C430" s="3" t="s">
        <v>2212</v>
      </c>
      <c r="E430" s="3" t="s">
        <v>71</v>
      </c>
      <c r="F430" s="3">
        <f t="shared" si="2"/>
        <v>1</v>
      </c>
      <c r="G430" s="3" t="s">
        <v>94</v>
      </c>
      <c r="H430" s="3">
        <f t="shared" si="3"/>
        <v>1</v>
      </c>
      <c r="I430" s="3" t="s">
        <v>95</v>
      </c>
      <c r="M430" s="3" t="s">
        <v>97</v>
      </c>
      <c r="N430" s="3" t="s">
        <v>98</v>
      </c>
      <c r="O430" s="3" t="s">
        <v>78</v>
      </c>
      <c r="P430" s="3" t="s">
        <v>79</v>
      </c>
      <c r="Q430" s="3" t="s">
        <v>2213</v>
      </c>
      <c r="R430" s="3" t="s">
        <v>200</v>
      </c>
      <c r="S430" s="18">
        <v>0</v>
      </c>
      <c r="T430" s="18">
        <v>3.45</v>
      </c>
      <c r="U430" s="18">
        <v>18.32</v>
      </c>
      <c r="V430" s="3" t="s">
        <v>73</v>
      </c>
      <c r="AC430" s="3" t="s">
        <v>102</v>
      </c>
      <c r="AD430" s="8">
        <v>35.665999999999997</v>
      </c>
      <c r="AE430" s="8">
        <v>-91.082999999999998</v>
      </c>
      <c r="AG430" s="3" t="s">
        <v>2214</v>
      </c>
      <c r="AH430" s="3">
        <v>2015</v>
      </c>
      <c r="AI430" s="3">
        <v>12</v>
      </c>
      <c r="AJ430" s="8">
        <v>15</v>
      </c>
      <c r="AK430" s="3">
        <v>2016</v>
      </c>
      <c r="AL430" s="3">
        <v>1</v>
      </c>
      <c r="AM430" s="3">
        <v>6</v>
      </c>
      <c r="AN430" s="29">
        <v>31</v>
      </c>
      <c r="AO430" s="3">
        <v>50</v>
      </c>
      <c r="AP430" s="3">
        <v>4000</v>
      </c>
      <c r="AR430" s="3">
        <v>4050</v>
      </c>
      <c r="AU430" s="3">
        <v>200000</v>
      </c>
      <c r="AV430" s="3">
        <v>246948</v>
      </c>
      <c r="AW430" s="3">
        <v>600000</v>
      </c>
      <c r="AX430" s="3">
        <v>740845</v>
      </c>
      <c r="AY430" s="3">
        <v>80.988578990590796</v>
      </c>
      <c r="AZ430" s="3" t="s">
        <v>89</v>
      </c>
      <c r="BA430" s="3" t="s">
        <v>2215</v>
      </c>
      <c r="BC430" s="3" t="s">
        <v>2216</v>
      </c>
      <c r="BD430" s="8">
        <v>4</v>
      </c>
    </row>
    <row r="431" spans="1:56" ht="14.25" customHeight="1" thickBot="1">
      <c r="A431" s="3" t="s">
        <v>2217</v>
      </c>
      <c r="B431" s="3" t="s">
        <v>2040</v>
      </c>
      <c r="C431" s="3" t="s">
        <v>2218</v>
      </c>
      <c r="E431" s="3" t="s">
        <v>71</v>
      </c>
      <c r="F431" s="3">
        <f t="shared" si="2"/>
        <v>2</v>
      </c>
      <c r="G431" s="3" t="s">
        <v>72</v>
      </c>
      <c r="H431" s="3">
        <f t="shared" si="3"/>
        <v>2</v>
      </c>
      <c r="I431" s="3" t="s">
        <v>73</v>
      </c>
      <c r="J431" s="3" t="s">
        <v>74</v>
      </c>
      <c r="K431" s="3" t="s">
        <v>127</v>
      </c>
      <c r="L431" s="3" t="s">
        <v>2219</v>
      </c>
      <c r="M431" s="3" t="s">
        <v>97</v>
      </c>
      <c r="N431" s="3" t="s">
        <v>98</v>
      </c>
      <c r="O431" s="3" t="s">
        <v>78</v>
      </c>
      <c r="P431" s="3" t="s">
        <v>79</v>
      </c>
      <c r="Q431" s="3" t="s">
        <v>2220</v>
      </c>
      <c r="S431" s="18">
        <v>17.03</v>
      </c>
      <c r="T431" s="18">
        <v>-9.17</v>
      </c>
      <c r="U431" s="18">
        <v>-0.57999999999999996</v>
      </c>
      <c r="V431" s="3" t="s">
        <v>114</v>
      </c>
      <c r="Z431" s="3" t="s">
        <v>264</v>
      </c>
      <c r="AC431" s="3" t="s">
        <v>81</v>
      </c>
      <c r="AD431" s="6">
        <v>35.773009999999999</v>
      </c>
      <c r="AE431" s="6">
        <v>-86.282008000000005</v>
      </c>
      <c r="AH431" s="3">
        <v>2015</v>
      </c>
      <c r="AI431" s="3">
        <v>2</v>
      </c>
      <c r="AJ431" s="8">
        <v>16</v>
      </c>
      <c r="AK431" s="3">
        <v>2015</v>
      </c>
      <c r="AL431" s="3">
        <v>2</v>
      </c>
      <c r="AM431" s="3">
        <v>22</v>
      </c>
      <c r="AN431" s="29">
        <v>10</v>
      </c>
      <c r="AU431" s="3">
        <v>75000</v>
      </c>
      <c r="AV431" s="3">
        <v>92606</v>
      </c>
      <c r="AW431" s="3">
        <v>100000</v>
      </c>
      <c r="AX431" s="3">
        <v>123474</v>
      </c>
      <c r="AY431" s="3">
        <v>80.988578990590796</v>
      </c>
      <c r="AZ431" s="3" t="s">
        <v>89</v>
      </c>
      <c r="BA431" s="3" t="s">
        <v>2221</v>
      </c>
      <c r="BC431" s="3" t="s">
        <v>2222</v>
      </c>
      <c r="BD431" s="8">
        <v>0</v>
      </c>
    </row>
    <row r="432" spans="1:56" ht="14.25" customHeight="1" thickBot="1">
      <c r="A432" s="3" t="s">
        <v>2223</v>
      </c>
      <c r="B432" s="3" t="s">
        <v>2040</v>
      </c>
      <c r="C432" s="3" t="s">
        <v>2110</v>
      </c>
      <c r="E432" s="3" t="s">
        <v>71</v>
      </c>
      <c r="F432" s="3">
        <f t="shared" si="2"/>
        <v>2</v>
      </c>
      <c r="G432" s="3" t="s">
        <v>72</v>
      </c>
      <c r="H432" s="3">
        <f t="shared" si="3"/>
        <v>2</v>
      </c>
      <c r="I432" s="3" t="s">
        <v>73</v>
      </c>
      <c r="J432" s="3" t="s">
        <v>74</v>
      </c>
      <c r="K432" s="3" t="s">
        <v>127</v>
      </c>
      <c r="M432" s="3" t="s">
        <v>97</v>
      </c>
      <c r="N432" s="3" t="s">
        <v>98</v>
      </c>
      <c r="O432" s="3" t="s">
        <v>78</v>
      </c>
      <c r="P432" s="3" t="s">
        <v>79</v>
      </c>
      <c r="Q432" s="3" t="s">
        <v>2224</v>
      </c>
      <c r="S432" s="18">
        <v>12.64</v>
      </c>
      <c r="T432" s="18">
        <v>-5.46</v>
      </c>
      <c r="U432" s="18">
        <v>3.57</v>
      </c>
      <c r="V432" s="3" t="s">
        <v>114</v>
      </c>
      <c r="AC432" s="3" t="s">
        <v>81</v>
      </c>
      <c r="AD432" s="6">
        <v>40.079659999999997</v>
      </c>
      <c r="AE432" s="6">
        <v>-89.433729</v>
      </c>
      <c r="AH432" s="3">
        <v>2015</v>
      </c>
      <c r="AI432" s="3">
        <v>1</v>
      </c>
      <c r="AJ432" s="8">
        <v>31</v>
      </c>
      <c r="AK432" s="3">
        <v>2015</v>
      </c>
      <c r="AL432" s="3">
        <v>2</v>
      </c>
      <c r="AM432" s="3">
        <v>4</v>
      </c>
      <c r="AN432" s="29">
        <v>22</v>
      </c>
      <c r="AU432" s="3">
        <v>100000</v>
      </c>
      <c r="AV432" s="3">
        <v>123474</v>
      </c>
      <c r="AW432" s="3">
        <v>150000</v>
      </c>
      <c r="AX432" s="3">
        <v>185211</v>
      </c>
      <c r="AY432" s="3">
        <v>80.988578990590796</v>
      </c>
      <c r="AZ432" s="3" t="s">
        <v>89</v>
      </c>
      <c r="BA432" s="3" t="s">
        <v>2225</v>
      </c>
      <c r="BC432" s="3" t="s">
        <v>2226</v>
      </c>
      <c r="BD432" s="8">
        <v>0</v>
      </c>
    </row>
    <row r="433" spans="1:56" ht="14.25" customHeight="1" thickBot="1">
      <c r="A433" s="3" t="s">
        <v>2227</v>
      </c>
      <c r="B433" s="3" t="s">
        <v>2040</v>
      </c>
      <c r="C433" s="3" t="s">
        <v>2008</v>
      </c>
      <c r="E433" s="3" t="s">
        <v>71</v>
      </c>
      <c r="F433" s="3">
        <f t="shared" si="2"/>
        <v>2</v>
      </c>
      <c r="G433" s="3" t="s">
        <v>72</v>
      </c>
      <c r="H433" s="3">
        <f t="shared" si="3"/>
        <v>2</v>
      </c>
      <c r="I433" s="3" t="s">
        <v>73</v>
      </c>
      <c r="J433" s="3" t="s">
        <v>74</v>
      </c>
      <c r="K433" s="3" t="s">
        <v>75</v>
      </c>
      <c r="M433" s="3" t="s">
        <v>97</v>
      </c>
      <c r="N433" s="3" t="s">
        <v>98</v>
      </c>
      <c r="O433" s="3" t="s">
        <v>78</v>
      </c>
      <c r="P433" s="3" t="s">
        <v>79</v>
      </c>
      <c r="Q433" s="3" t="s">
        <v>2228</v>
      </c>
      <c r="S433" s="18">
        <v>64.25</v>
      </c>
      <c r="T433" s="18">
        <v>9.61</v>
      </c>
      <c r="U433" s="18">
        <v>23.44</v>
      </c>
      <c r="V433" s="3" t="s">
        <v>95</v>
      </c>
      <c r="Z433" s="3" t="s">
        <v>264</v>
      </c>
      <c r="AC433" s="3" t="s">
        <v>81</v>
      </c>
      <c r="AD433" s="6">
        <v>32.776269999999997</v>
      </c>
      <c r="AE433" s="6">
        <v>-96.796856000000005</v>
      </c>
      <c r="AH433" s="3">
        <v>2015</v>
      </c>
      <c r="AI433" s="3">
        <v>12</v>
      </c>
      <c r="AJ433" s="8">
        <v>26</v>
      </c>
      <c r="AK433" s="3">
        <v>2015</v>
      </c>
      <c r="AL433" s="3">
        <v>12</v>
      </c>
      <c r="AM433" s="3">
        <v>30</v>
      </c>
      <c r="AN433" s="29">
        <v>50</v>
      </c>
      <c r="AO433" s="3">
        <v>60</v>
      </c>
      <c r="AR433" s="3">
        <v>60</v>
      </c>
      <c r="AU433" s="3">
        <v>800000</v>
      </c>
      <c r="AV433" s="3">
        <v>987794</v>
      </c>
      <c r="AW433" s="3">
        <v>2000000</v>
      </c>
      <c r="AX433" s="3">
        <v>2469484</v>
      </c>
      <c r="AY433" s="3">
        <v>80.988578990590796</v>
      </c>
      <c r="AZ433" s="3" t="s">
        <v>206</v>
      </c>
      <c r="BA433" s="3" t="s">
        <v>2229</v>
      </c>
      <c r="BB433" s="3" t="s">
        <v>2230</v>
      </c>
      <c r="BC433" s="3" t="s">
        <v>2231</v>
      </c>
      <c r="BD433" s="8">
        <v>2</v>
      </c>
    </row>
    <row r="434" spans="1:56" ht="14.25" customHeight="1" thickBot="1">
      <c r="A434" s="3" t="s">
        <v>2232</v>
      </c>
      <c r="B434" s="3" t="s">
        <v>2040</v>
      </c>
      <c r="C434" s="3" t="s">
        <v>2233</v>
      </c>
      <c r="E434" s="3" t="s">
        <v>71</v>
      </c>
      <c r="F434" s="3">
        <f t="shared" si="2"/>
        <v>2</v>
      </c>
      <c r="G434" s="3" t="s">
        <v>72</v>
      </c>
      <c r="H434" s="3">
        <f t="shared" si="3"/>
        <v>2</v>
      </c>
      <c r="I434" s="3" t="s">
        <v>73</v>
      </c>
      <c r="J434" s="3" t="s">
        <v>74</v>
      </c>
      <c r="K434" s="3" t="s">
        <v>127</v>
      </c>
      <c r="M434" s="3" t="s">
        <v>97</v>
      </c>
      <c r="N434" s="3" t="s">
        <v>98</v>
      </c>
      <c r="O434" s="3" t="s">
        <v>78</v>
      </c>
      <c r="P434" s="3" t="s">
        <v>79</v>
      </c>
      <c r="Q434" s="3" t="s">
        <v>1306</v>
      </c>
      <c r="R434" s="3" t="s">
        <v>100</v>
      </c>
      <c r="S434" s="18">
        <v>0</v>
      </c>
      <c r="T434" s="18">
        <v>11.28</v>
      </c>
      <c r="U434" s="18">
        <v>24.27</v>
      </c>
      <c r="V434" s="3" t="s">
        <v>95</v>
      </c>
      <c r="AC434" s="3" t="s">
        <v>81</v>
      </c>
      <c r="AD434" s="6">
        <v>31.26389</v>
      </c>
      <c r="AE434" s="6">
        <v>-98.545612000000006</v>
      </c>
      <c r="AH434" s="3">
        <v>2015</v>
      </c>
      <c r="AI434" s="3">
        <v>11</v>
      </c>
      <c r="AJ434" s="8">
        <v>25</v>
      </c>
      <c r="AK434" s="3">
        <v>2015</v>
      </c>
      <c r="AL434" s="3">
        <v>12</v>
      </c>
      <c r="AM434" s="3">
        <v>4</v>
      </c>
      <c r="AN434" s="29">
        <v>18</v>
      </c>
      <c r="AP434" s="3">
        <v>300</v>
      </c>
      <c r="AR434" s="3">
        <v>300</v>
      </c>
      <c r="AU434" s="3">
        <v>62500</v>
      </c>
      <c r="AV434" s="3">
        <v>77171</v>
      </c>
      <c r="AW434" s="3">
        <v>140000</v>
      </c>
      <c r="AX434" s="3">
        <v>172864</v>
      </c>
      <c r="AY434" s="3">
        <v>80.988578990590796</v>
      </c>
      <c r="AZ434" s="3" t="s">
        <v>89</v>
      </c>
      <c r="BA434" s="3" t="s">
        <v>1308</v>
      </c>
      <c r="BC434" s="3" t="s">
        <v>1309</v>
      </c>
      <c r="BD434" s="8">
        <v>3</v>
      </c>
    </row>
    <row r="435" spans="1:56" ht="14.25" customHeight="1" thickBot="1">
      <c r="A435" s="3" t="s">
        <v>2234</v>
      </c>
      <c r="B435" s="3" t="s">
        <v>2040</v>
      </c>
      <c r="C435" s="3" t="s">
        <v>2129</v>
      </c>
      <c r="E435" s="3" t="s">
        <v>71</v>
      </c>
      <c r="F435" s="3">
        <f t="shared" si="2"/>
        <v>2</v>
      </c>
      <c r="G435" s="3" t="s">
        <v>72</v>
      </c>
      <c r="H435" s="3">
        <f t="shared" si="3"/>
        <v>2</v>
      </c>
      <c r="I435" s="3" t="s">
        <v>73</v>
      </c>
      <c r="J435" s="3" t="s">
        <v>212</v>
      </c>
      <c r="L435" s="3" t="s">
        <v>2235</v>
      </c>
      <c r="M435" s="3" t="s">
        <v>97</v>
      </c>
      <c r="N435" s="3" t="s">
        <v>98</v>
      </c>
      <c r="O435" s="3" t="s">
        <v>78</v>
      </c>
      <c r="P435" s="3" t="s">
        <v>79</v>
      </c>
      <c r="Q435" s="3" t="s">
        <v>2236</v>
      </c>
      <c r="S435" s="18">
        <v>5.81</v>
      </c>
      <c r="T435" s="18">
        <v>18.989999999999998</v>
      </c>
      <c r="U435" s="18">
        <v>21.93</v>
      </c>
      <c r="V435" s="3" t="s">
        <v>95</v>
      </c>
      <c r="AC435" s="3" t="s">
        <v>81</v>
      </c>
      <c r="AD435" s="8">
        <v>33.503</v>
      </c>
      <c r="AE435" s="8">
        <v>-80.492999999999995</v>
      </c>
      <c r="AH435" s="3">
        <v>2015</v>
      </c>
      <c r="AI435" s="3">
        <v>10</v>
      </c>
      <c r="AJ435" s="8">
        <v>1</v>
      </c>
      <c r="AK435" s="3">
        <v>2015</v>
      </c>
      <c r="AL435" s="3">
        <v>10</v>
      </c>
      <c r="AM435" s="3">
        <v>13</v>
      </c>
      <c r="AN435" s="29">
        <v>25</v>
      </c>
      <c r="AP435" s="3">
        <v>800</v>
      </c>
      <c r="AR435" s="3">
        <v>800</v>
      </c>
      <c r="AU435" s="3">
        <v>400000</v>
      </c>
      <c r="AV435" s="3">
        <v>493897</v>
      </c>
      <c r="AW435" s="3">
        <v>2000000</v>
      </c>
      <c r="AX435" s="3">
        <v>2469484</v>
      </c>
      <c r="AY435" s="3">
        <v>80.988578990590796</v>
      </c>
      <c r="AZ435" s="3" t="s">
        <v>89</v>
      </c>
      <c r="BA435" s="3" t="s">
        <v>826</v>
      </c>
      <c r="BC435" s="3" t="s">
        <v>2237</v>
      </c>
      <c r="BD435" s="8">
        <v>3</v>
      </c>
    </row>
    <row r="436" spans="1:56" ht="14.25" customHeight="1" thickBot="1">
      <c r="A436" s="3" t="s">
        <v>2238</v>
      </c>
      <c r="B436" s="3" t="s">
        <v>2040</v>
      </c>
      <c r="C436" s="3" t="s">
        <v>1195</v>
      </c>
      <c r="E436" s="3" t="s">
        <v>71</v>
      </c>
      <c r="F436" s="3">
        <f t="shared" si="2"/>
        <v>2</v>
      </c>
      <c r="G436" s="3" t="s">
        <v>72</v>
      </c>
      <c r="H436" s="3">
        <f t="shared" si="3"/>
        <v>2</v>
      </c>
      <c r="I436" s="3" t="s">
        <v>73</v>
      </c>
      <c r="J436" s="3" t="s">
        <v>74</v>
      </c>
      <c r="K436" s="3" t="s">
        <v>127</v>
      </c>
      <c r="M436" s="3" t="s">
        <v>97</v>
      </c>
      <c r="N436" s="3" t="s">
        <v>98</v>
      </c>
      <c r="O436" s="3" t="s">
        <v>78</v>
      </c>
      <c r="P436" s="3" t="s">
        <v>79</v>
      </c>
      <c r="Q436" s="3" t="s">
        <v>2239</v>
      </c>
      <c r="S436" s="18">
        <v>11.98</v>
      </c>
      <c r="T436" s="18">
        <v>-8.9700000000000006</v>
      </c>
      <c r="U436" s="18">
        <v>-3.8</v>
      </c>
      <c r="V436" s="3" t="s">
        <v>343</v>
      </c>
      <c r="Z436" s="3" t="s">
        <v>264</v>
      </c>
      <c r="AB436" s="3">
        <v>104</v>
      </c>
      <c r="AC436" s="3" t="s">
        <v>81</v>
      </c>
      <c r="AD436" s="6">
        <v>41.650019999999998</v>
      </c>
      <c r="AE436" s="6">
        <v>-72.734216000000004</v>
      </c>
      <c r="AH436" s="3">
        <v>2015</v>
      </c>
      <c r="AI436" s="3">
        <v>1</v>
      </c>
      <c r="AJ436" s="8">
        <v>26</v>
      </c>
      <c r="AK436" s="3">
        <v>2015</v>
      </c>
      <c r="AL436" s="3">
        <v>1</v>
      </c>
      <c r="AM436" s="3">
        <v>28</v>
      </c>
      <c r="AN436" s="29">
        <v>2</v>
      </c>
      <c r="AU436" s="3">
        <v>50000</v>
      </c>
      <c r="AV436" s="3">
        <v>61737</v>
      </c>
      <c r="AW436" s="3">
        <v>80000</v>
      </c>
      <c r="AX436" s="3">
        <v>98779</v>
      </c>
      <c r="AY436" s="3">
        <v>80.988578990590796</v>
      </c>
      <c r="AZ436" s="3" t="s">
        <v>89</v>
      </c>
      <c r="BA436" s="3" t="s">
        <v>2240</v>
      </c>
      <c r="BC436" s="3" t="s">
        <v>2241</v>
      </c>
      <c r="BD436" s="8">
        <v>0</v>
      </c>
    </row>
    <row r="437" spans="1:56" ht="14.25" customHeight="1" thickBot="1">
      <c r="A437" s="3" t="s">
        <v>2242</v>
      </c>
      <c r="B437" s="3" t="s">
        <v>2040</v>
      </c>
      <c r="C437" s="3" t="s">
        <v>2018</v>
      </c>
      <c r="D437" s="3" t="s">
        <v>2243</v>
      </c>
      <c r="E437" s="3" t="s">
        <v>71</v>
      </c>
      <c r="F437" s="3">
        <f t="shared" si="2"/>
        <v>1</v>
      </c>
      <c r="G437" s="3" t="s">
        <v>94</v>
      </c>
      <c r="H437" s="3">
        <f t="shared" si="3"/>
        <v>1</v>
      </c>
      <c r="I437" s="3" t="s">
        <v>95</v>
      </c>
      <c r="J437" s="3" t="s">
        <v>185</v>
      </c>
      <c r="M437" s="3" t="s">
        <v>97</v>
      </c>
      <c r="N437" s="3" t="s">
        <v>98</v>
      </c>
      <c r="O437" s="3" t="s">
        <v>78</v>
      </c>
      <c r="P437" s="3" t="s">
        <v>79</v>
      </c>
      <c r="Q437" s="3" t="s">
        <v>2244</v>
      </c>
      <c r="R437" s="3" t="s">
        <v>100</v>
      </c>
      <c r="S437" s="18">
        <v>5.79</v>
      </c>
      <c r="T437" s="18">
        <v>15</v>
      </c>
      <c r="U437" s="18">
        <v>27.17</v>
      </c>
      <c r="V437" s="3" t="s">
        <v>2032</v>
      </c>
      <c r="AB437" s="3">
        <v>849465</v>
      </c>
      <c r="AC437" s="3" t="s">
        <v>102</v>
      </c>
      <c r="AD437" s="8">
        <v>34.193600000000004</v>
      </c>
      <c r="AE437" s="8">
        <v>-97.99</v>
      </c>
      <c r="AH437" s="3">
        <v>2015</v>
      </c>
      <c r="AI437" s="3">
        <v>5</v>
      </c>
      <c r="AJ437" s="8">
        <v>23</v>
      </c>
      <c r="AK437" s="3">
        <v>2015</v>
      </c>
      <c r="AL437" s="3">
        <v>5</v>
      </c>
      <c r="AM437" s="3">
        <v>30</v>
      </c>
      <c r="AN437" s="29">
        <v>32</v>
      </c>
      <c r="AP437" s="3">
        <v>12000</v>
      </c>
      <c r="AR437" s="3">
        <v>12000</v>
      </c>
      <c r="AU437" s="3">
        <v>1500000</v>
      </c>
      <c r="AV437" s="3">
        <v>1852113</v>
      </c>
      <c r="AW437" s="3">
        <v>2700000</v>
      </c>
      <c r="AX437" s="3">
        <v>3333803</v>
      </c>
      <c r="AY437" s="3">
        <v>80.988578990590796</v>
      </c>
      <c r="AZ437" s="3" t="s">
        <v>89</v>
      </c>
      <c r="BA437" s="3" t="s">
        <v>2245</v>
      </c>
      <c r="BC437" s="3" t="s">
        <v>2246</v>
      </c>
      <c r="BD437" s="8">
        <v>5</v>
      </c>
    </row>
    <row r="438" spans="1:56" ht="14.25" customHeight="1" thickBot="1">
      <c r="A438" s="3" t="s">
        <v>2247</v>
      </c>
      <c r="B438" s="3" t="s">
        <v>2040</v>
      </c>
      <c r="C438" s="3" t="s">
        <v>1895</v>
      </c>
      <c r="E438" s="3" t="s">
        <v>71</v>
      </c>
      <c r="F438" s="3">
        <f t="shared" si="2"/>
        <v>2</v>
      </c>
      <c r="G438" s="3" t="s">
        <v>72</v>
      </c>
      <c r="H438" s="3">
        <f t="shared" si="3"/>
        <v>2</v>
      </c>
      <c r="I438" s="3" t="s">
        <v>73</v>
      </c>
      <c r="J438" s="3" t="s">
        <v>74</v>
      </c>
      <c r="K438" s="3" t="s">
        <v>75</v>
      </c>
      <c r="M438" s="3" t="s">
        <v>97</v>
      </c>
      <c r="N438" s="3" t="s">
        <v>98</v>
      </c>
      <c r="O438" s="3" t="s">
        <v>78</v>
      </c>
      <c r="P438" s="3" t="s">
        <v>79</v>
      </c>
      <c r="Q438" s="3" t="s">
        <v>2248</v>
      </c>
      <c r="S438" s="18">
        <v>0</v>
      </c>
      <c r="T438" s="18">
        <v>19.28</v>
      </c>
      <c r="U438" s="18">
        <v>29.64</v>
      </c>
      <c r="AC438" s="3" t="s">
        <v>81</v>
      </c>
      <c r="AD438" s="6">
        <v>31.26389</v>
      </c>
      <c r="AE438" s="6">
        <v>-98.545612000000006</v>
      </c>
      <c r="AH438" s="3">
        <v>2015</v>
      </c>
      <c r="AI438" s="3">
        <v>5</v>
      </c>
      <c r="AJ438" s="8">
        <v>6</v>
      </c>
      <c r="AK438" s="3">
        <v>2015</v>
      </c>
      <c r="AL438" s="3">
        <v>5</v>
      </c>
      <c r="AM438" s="3">
        <v>13</v>
      </c>
      <c r="AN438" s="29">
        <v>6</v>
      </c>
      <c r="AW438" s="3">
        <v>1000000</v>
      </c>
      <c r="AX438" s="3">
        <v>1234742</v>
      </c>
      <c r="AY438" s="3">
        <v>80.988578990590796</v>
      </c>
      <c r="AZ438" s="3" t="s">
        <v>206</v>
      </c>
      <c r="BA438" s="3" t="s">
        <v>2249</v>
      </c>
      <c r="BB438" s="3" t="s">
        <v>2250</v>
      </c>
      <c r="BC438" s="3" t="s">
        <v>2251</v>
      </c>
      <c r="BD438" s="8">
        <v>0</v>
      </c>
    </row>
    <row r="439" spans="1:56" ht="14.25" customHeight="1" thickBot="1">
      <c r="A439" s="3" t="s">
        <v>2252</v>
      </c>
      <c r="B439" s="3" t="s">
        <v>2040</v>
      </c>
      <c r="C439" s="3" t="s">
        <v>2253</v>
      </c>
      <c r="E439" s="3" t="s">
        <v>71</v>
      </c>
      <c r="F439" s="3">
        <f t="shared" si="2"/>
        <v>2</v>
      </c>
      <c r="G439" s="3" t="s">
        <v>72</v>
      </c>
      <c r="H439" s="3">
        <f t="shared" si="3"/>
        <v>2</v>
      </c>
      <c r="I439" s="3" t="s">
        <v>73</v>
      </c>
      <c r="J439" s="3" t="s">
        <v>74</v>
      </c>
      <c r="K439" s="3" t="s">
        <v>127</v>
      </c>
      <c r="M439" s="3" t="s">
        <v>97</v>
      </c>
      <c r="N439" s="3" t="s">
        <v>98</v>
      </c>
      <c r="O439" s="3" t="s">
        <v>78</v>
      </c>
      <c r="P439" s="3" t="s">
        <v>79</v>
      </c>
      <c r="Q439" s="3" t="s">
        <v>2254</v>
      </c>
      <c r="S439" s="18">
        <v>0</v>
      </c>
      <c r="T439" s="18">
        <v>-13.81</v>
      </c>
      <c r="U439" s="18">
        <v>-8.19</v>
      </c>
      <c r="AC439" s="3" t="s">
        <v>81</v>
      </c>
      <c r="AD439" s="6">
        <v>40.079659999999997</v>
      </c>
      <c r="AE439" s="6">
        <v>-89.433729</v>
      </c>
      <c r="AH439" s="3">
        <v>2015</v>
      </c>
      <c r="AI439" s="3">
        <v>1</v>
      </c>
      <c r="AJ439" s="8">
        <v>6</v>
      </c>
      <c r="AK439" s="3">
        <v>2015</v>
      </c>
      <c r="AL439" s="3">
        <v>1</v>
      </c>
      <c r="AM439" s="3">
        <v>11</v>
      </c>
      <c r="AN439" s="29">
        <v>15</v>
      </c>
      <c r="AW439" s="3">
        <v>100000</v>
      </c>
      <c r="AX439" s="3">
        <v>123474</v>
      </c>
      <c r="AY439" s="3">
        <v>80.988578990590796</v>
      </c>
      <c r="AZ439" s="3" t="s">
        <v>89</v>
      </c>
      <c r="BA439" s="3" t="s">
        <v>2255</v>
      </c>
      <c r="BC439" s="3" t="s">
        <v>2256</v>
      </c>
      <c r="BD439" s="8">
        <v>0</v>
      </c>
    </row>
    <row r="440" spans="1:56" ht="14.25" customHeight="1" thickBot="1">
      <c r="A440" s="3" t="s">
        <v>2257</v>
      </c>
      <c r="B440" s="3" t="s">
        <v>2040</v>
      </c>
      <c r="C440" s="3" t="s">
        <v>2258</v>
      </c>
      <c r="E440" s="3" t="s">
        <v>71</v>
      </c>
      <c r="F440" s="3">
        <f t="shared" si="2"/>
        <v>2</v>
      </c>
      <c r="G440" s="3" t="s">
        <v>72</v>
      </c>
      <c r="H440" s="3">
        <f t="shared" si="3"/>
        <v>2</v>
      </c>
      <c r="I440" s="3" t="s">
        <v>73</v>
      </c>
      <c r="J440" s="3" t="s">
        <v>74</v>
      </c>
      <c r="K440" s="3" t="s">
        <v>127</v>
      </c>
      <c r="M440" s="3" t="s">
        <v>97</v>
      </c>
      <c r="N440" s="3" t="s">
        <v>98</v>
      </c>
      <c r="O440" s="3" t="s">
        <v>78</v>
      </c>
      <c r="P440" s="3" t="s">
        <v>79</v>
      </c>
      <c r="Q440" s="3" t="s">
        <v>2259</v>
      </c>
      <c r="S440" s="18">
        <v>0</v>
      </c>
      <c r="T440" s="18">
        <v>-22.85</v>
      </c>
      <c r="U440" s="18">
        <v>-9.6300000000000008</v>
      </c>
      <c r="AC440" s="3" t="s">
        <v>81</v>
      </c>
      <c r="AD440" s="6">
        <v>42.378880000000002</v>
      </c>
      <c r="AE440" s="6">
        <v>-72.032365999999996</v>
      </c>
      <c r="AH440" s="3">
        <v>2015</v>
      </c>
      <c r="AI440" s="3">
        <v>2</v>
      </c>
      <c r="AJ440" s="8">
        <v>16</v>
      </c>
      <c r="AK440" s="3">
        <v>2015</v>
      </c>
      <c r="AL440" s="3">
        <v>2</v>
      </c>
      <c r="AM440" s="3">
        <v>22</v>
      </c>
      <c r="AN440" s="29">
        <v>30</v>
      </c>
      <c r="AU440" s="3">
        <v>2000000</v>
      </c>
      <c r="AV440" s="3">
        <v>2469484</v>
      </c>
      <c r="AW440" s="3">
        <v>3000000</v>
      </c>
      <c r="AX440" s="3">
        <v>3704226</v>
      </c>
      <c r="AY440" s="3">
        <v>80.988578990590796</v>
      </c>
      <c r="AZ440" s="3" t="s">
        <v>89</v>
      </c>
      <c r="BA440" s="3" t="s">
        <v>2260</v>
      </c>
      <c r="BC440" s="3" t="s">
        <v>2261</v>
      </c>
      <c r="BD440" s="8">
        <v>0</v>
      </c>
    </row>
    <row r="441" spans="1:56" ht="14.25" customHeight="1" thickBot="1">
      <c r="A441" s="3" t="s">
        <v>2262</v>
      </c>
      <c r="B441" s="3" t="s">
        <v>2040</v>
      </c>
      <c r="C441" s="3" t="s">
        <v>1767</v>
      </c>
      <c r="E441" s="3" t="s">
        <v>71</v>
      </c>
      <c r="F441" s="3">
        <f t="shared" si="2"/>
        <v>2</v>
      </c>
      <c r="G441" s="3" t="s">
        <v>72</v>
      </c>
      <c r="H441" s="3">
        <f t="shared" si="3"/>
        <v>2</v>
      </c>
      <c r="I441" s="3" t="s">
        <v>73</v>
      </c>
      <c r="J441" s="3" t="s">
        <v>74</v>
      </c>
      <c r="K441" s="3" t="s">
        <v>127</v>
      </c>
      <c r="M441" s="3" t="s">
        <v>97</v>
      </c>
      <c r="N441" s="3" t="s">
        <v>98</v>
      </c>
      <c r="O441" s="3" t="s">
        <v>78</v>
      </c>
      <c r="P441" s="3" t="s">
        <v>79</v>
      </c>
      <c r="Q441" s="3" t="s">
        <v>2263</v>
      </c>
      <c r="S441" s="18">
        <v>15.61</v>
      </c>
      <c r="T441" s="18">
        <v>-8.06</v>
      </c>
      <c r="U441" s="18">
        <v>2.35</v>
      </c>
      <c r="AC441" s="3" t="s">
        <v>81</v>
      </c>
      <c r="AD441" s="6">
        <v>40.712730000000001</v>
      </c>
      <c r="AE441" s="6">
        <v>-74.006015000000005</v>
      </c>
      <c r="AH441" s="3">
        <v>2015</v>
      </c>
      <c r="AI441" s="3">
        <v>3</v>
      </c>
      <c r="AJ441" s="8">
        <v>3</v>
      </c>
      <c r="AK441" s="3">
        <v>2015</v>
      </c>
      <c r="AL441" s="3">
        <v>3</v>
      </c>
      <c r="AM441" s="3">
        <v>5</v>
      </c>
      <c r="AN441" s="29">
        <v>13</v>
      </c>
      <c r="AU441" s="3">
        <v>100000</v>
      </c>
      <c r="AV441" s="3">
        <v>123474</v>
      </c>
      <c r="AW441" s="3">
        <v>170000</v>
      </c>
      <c r="AX441" s="3">
        <v>209906</v>
      </c>
      <c r="AY441" s="3">
        <v>80.988578990590796</v>
      </c>
      <c r="AZ441" s="3" t="s">
        <v>89</v>
      </c>
      <c r="BA441" s="3" t="s">
        <v>2264</v>
      </c>
      <c r="BC441" s="3" t="s">
        <v>2265</v>
      </c>
      <c r="BD441" s="8">
        <v>0</v>
      </c>
    </row>
    <row r="442" spans="1:56" ht="14.25" customHeight="1" thickBot="1">
      <c r="A442" s="3" t="s">
        <v>2266</v>
      </c>
      <c r="B442" s="3" t="s">
        <v>2040</v>
      </c>
      <c r="C442" s="3" t="s">
        <v>2267</v>
      </c>
      <c r="E442" s="3" t="s">
        <v>71</v>
      </c>
      <c r="F442" s="3">
        <f t="shared" si="2"/>
        <v>1</v>
      </c>
      <c r="G442" s="3" t="s">
        <v>94</v>
      </c>
      <c r="H442" s="3">
        <f t="shared" si="3"/>
        <v>1</v>
      </c>
      <c r="I442" s="3" t="s">
        <v>95</v>
      </c>
      <c r="J442" s="3" t="s">
        <v>185</v>
      </c>
      <c r="M442" s="3" t="s">
        <v>97</v>
      </c>
      <c r="N442" s="3" t="s">
        <v>98</v>
      </c>
      <c r="O442" s="3" t="s">
        <v>78</v>
      </c>
      <c r="P442" s="3" t="s">
        <v>79</v>
      </c>
      <c r="Q442" s="3" t="s">
        <v>2268</v>
      </c>
      <c r="R442" s="3" t="s">
        <v>1827</v>
      </c>
      <c r="S442" s="18">
        <v>6.53</v>
      </c>
      <c r="T442" s="18">
        <v>16.52</v>
      </c>
      <c r="U442" s="18">
        <v>26.07</v>
      </c>
      <c r="AC442" s="3" t="s">
        <v>102</v>
      </c>
      <c r="AD442" s="8">
        <v>34.193600000000004</v>
      </c>
      <c r="AE442" s="8">
        <v>-97.99</v>
      </c>
      <c r="AH442" s="3">
        <v>2015</v>
      </c>
      <c r="AI442" s="3">
        <v>5</v>
      </c>
      <c r="AJ442" s="8">
        <v>24</v>
      </c>
      <c r="AK442" s="3">
        <v>2015</v>
      </c>
      <c r="AL442" s="3">
        <v>5</v>
      </c>
      <c r="AM442" s="3">
        <v>24</v>
      </c>
      <c r="AN442" s="29">
        <v>16</v>
      </c>
      <c r="AP442" s="3">
        <v>12000</v>
      </c>
      <c r="AR442" s="3">
        <v>12000</v>
      </c>
      <c r="AY442" s="3">
        <v>80.988578990590796</v>
      </c>
      <c r="AZ442" s="3" t="s">
        <v>82</v>
      </c>
      <c r="BB442" s="3" t="s">
        <v>2269</v>
      </c>
      <c r="BC442" s="3" t="s">
        <v>2270</v>
      </c>
      <c r="BD442" s="8">
        <v>5</v>
      </c>
    </row>
    <row r="443" spans="1:56" ht="14.25" customHeight="1" thickBot="1">
      <c r="A443" s="3" t="s">
        <v>2271</v>
      </c>
      <c r="B443" s="3" t="s">
        <v>2040</v>
      </c>
      <c r="C443" s="3" t="s">
        <v>2272</v>
      </c>
      <c r="E443" s="3" t="s">
        <v>71</v>
      </c>
      <c r="F443" s="3">
        <f t="shared" si="2"/>
        <v>1</v>
      </c>
      <c r="G443" s="3" t="s">
        <v>94</v>
      </c>
      <c r="H443" s="3">
        <f t="shared" si="3"/>
        <v>1</v>
      </c>
      <c r="I443" s="3" t="s">
        <v>95</v>
      </c>
      <c r="J443" s="3" t="s">
        <v>185</v>
      </c>
      <c r="M443" s="3" t="s">
        <v>97</v>
      </c>
      <c r="N443" s="3" t="s">
        <v>98</v>
      </c>
      <c r="O443" s="3" t="s">
        <v>78</v>
      </c>
      <c r="P443" s="3" t="s">
        <v>79</v>
      </c>
      <c r="Q443" s="3" t="s">
        <v>2273</v>
      </c>
      <c r="R443" s="3" t="s">
        <v>2274</v>
      </c>
      <c r="S443" s="18">
        <v>23.84</v>
      </c>
      <c r="T443" s="18">
        <v>13.96</v>
      </c>
      <c r="U443" s="18">
        <v>24.75</v>
      </c>
      <c r="AC443" s="3" t="s">
        <v>102</v>
      </c>
      <c r="AD443" s="5">
        <v>37.002966481107897</v>
      </c>
      <c r="AE443" s="17">
        <v>-112.987075945424</v>
      </c>
      <c r="AH443" s="3">
        <v>2015</v>
      </c>
      <c r="AI443" s="3">
        <v>9</v>
      </c>
      <c r="AJ443" s="8">
        <v>14</v>
      </c>
      <c r="AK443" s="3">
        <v>2015</v>
      </c>
      <c r="AL443" s="3">
        <v>9</v>
      </c>
      <c r="AM443" s="3">
        <v>14</v>
      </c>
      <c r="AN443" s="29">
        <v>19</v>
      </c>
      <c r="AW443" s="3">
        <v>2000</v>
      </c>
      <c r="AX443" s="3">
        <v>2469</v>
      </c>
      <c r="AY443" s="3">
        <v>80.988578990590796</v>
      </c>
      <c r="AZ443" s="3" t="s">
        <v>82</v>
      </c>
      <c r="BB443" s="3" t="s">
        <v>2275</v>
      </c>
      <c r="BC443" s="3" t="s">
        <v>2276</v>
      </c>
      <c r="BD443" s="8">
        <v>0</v>
      </c>
    </row>
    <row r="444" spans="1:56" ht="14.25" customHeight="1" thickBot="1">
      <c r="A444" s="3" t="s">
        <v>2277</v>
      </c>
      <c r="B444" s="3" t="s">
        <v>2040</v>
      </c>
      <c r="C444" s="3" t="s">
        <v>2278</v>
      </c>
      <c r="E444" s="3" t="s">
        <v>71</v>
      </c>
      <c r="F444" s="3">
        <f t="shared" si="2"/>
        <v>3</v>
      </c>
      <c r="G444" s="3" t="s">
        <v>119</v>
      </c>
      <c r="H444" s="3">
        <f t="shared" si="3"/>
        <v>3</v>
      </c>
      <c r="I444" s="3" t="s">
        <v>122</v>
      </c>
      <c r="J444" s="3" t="s">
        <v>600</v>
      </c>
      <c r="M444" s="3" t="s">
        <v>97</v>
      </c>
      <c r="N444" s="3" t="s">
        <v>98</v>
      </c>
      <c r="O444" s="3" t="s">
        <v>78</v>
      </c>
      <c r="P444" s="3" t="s">
        <v>79</v>
      </c>
      <c r="Q444" s="3" t="s">
        <v>2279</v>
      </c>
      <c r="R444" s="3" t="s">
        <v>2280</v>
      </c>
      <c r="S444" s="18">
        <v>0</v>
      </c>
      <c r="T444" s="18">
        <v>16.86</v>
      </c>
      <c r="U444" s="18">
        <v>33.229999999999997</v>
      </c>
      <c r="Z444" s="3" t="s">
        <v>264</v>
      </c>
      <c r="AC444" s="3" t="s">
        <v>102</v>
      </c>
      <c r="AD444" s="10">
        <v>38.295070000000003</v>
      </c>
      <c r="AE444" s="11">
        <v>-122.288085</v>
      </c>
      <c r="AH444" s="3">
        <v>2015</v>
      </c>
      <c r="AI444" s="3">
        <v>9</v>
      </c>
      <c r="AJ444" s="8">
        <v>13</v>
      </c>
      <c r="AK444" s="3">
        <v>2015</v>
      </c>
      <c r="AL444" s="3">
        <v>9</v>
      </c>
      <c r="AM444" s="3">
        <v>20</v>
      </c>
      <c r="AN444" s="29">
        <v>4</v>
      </c>
      <c r="AQ444" s="3">
        <v>7302</v>
      </c>
      <c r="AR444" s="3">
        <v>7302</v>
      </c>
      <c r="AU444" s="3">
        <v>960000</v>
      </c>
      <c r="AV444" s="3">
        <v>1185352</v>
      </c>
      <c r="AW444" s="3">
        <v>1400000</v>
      </c>
      <c r="AX444" s="3">
        <v>1728639</v>
      </c>
      <c r="AY444" s="3">
        <v>80.988578990590796</v>
      </c>
      <c r="AZ444" s="3" t="s">
        <v>82</v>
      </c>
      <c r="BB444" s="3" t="s">
        <v>2281</v>
      </c>
      <c r="BC444" s="3" t="s">
        <v>2282</v>
      </c>
      <c r="BD444" s="8">
        <v>4</v>
      </c>
    </row>
    <row r="445" spans="1:56" ht="14.25" customHeight="1" thickBot="1">
      <c r="A445" s="3" t="s">
        <v>2283</v>
      </c>
      <c r="B445" s="3" t="s">
        <v>2040</v>
      </c>
      <c r="C445" s="3" t="s">
        <v>1739</v>
      </c>
      <c r="E445" s="3" t="s">
        <v>71</v>
      </c>
      <c r="F445" s="3">
        <f t="shared" si="2"/>
        <v>3</v>
      </c>
      <c r="G445" s="3" t="s">
        <v>119</v>
      </c>
      <c r="H445" s="3">
        <f t="shared" si="3"/>
        <v>3</v>
      </c>
      <c r="I445" s="3" t="s">
        <v>122</v>
      </c>
      <c r="J445" s="3" t="s">
        <v>600</v>
      </c>
      <c r="L445" s="3" t="s">
        <v>2284</v>
      </c>
      <c r="M445" s="3" t="s">
        <v>97</v>
      </c>
      <c r="N445" s="3" t="s">
        <v>98</v>
      </c>
      <c r="O445" s="3" t="s">
        <v>78</v>
      </c>
      <c r="P445" s="3" t="s">
        <v>79</v>
      </c>
      <c r="Q445" s="3" t="s">
        <v>2285</v>
      </c>
      <c r="S445" s="18">
        <v>0</v>
      </c>
      <c r="T445" s="18">
        <v>21</v>
      </c>
      <c r="U445" s="18">
        <v>36.81</v>
      </c>
      <c r="AC445" s="3" t="s">
        <v>102</v>
      </c>
      <c r="AD445" s="6">
        <v>38.449089999999998</v>
      </c>
      <c r="AE445" s="6">
        <v>-120.59110200000001</v>
      </c>
      <c r="AH445" s="3">
        <v>2015</v>
      </c>
      <c r="AI445" s="3">
        <v>9</v>
      </c>
      <c r="AJ445" s="8">
        <v>9</v>
      </c>
      <c r="AK445" s="3">
        <v>2015</v>
      </c>
      <c r="AL445" s="3">
        <v>9</v>
      </c>
      <c r="AM445" s="3">
        <v>14</v>
      </c>
      <c r="AN445" s="29">
        <v>3</v>
      </c>
      <c r="AQ445" s="3">
        <v>1425</v>
      </c>
      <c r="AR445" s="3">
        <v>1425</v>
      </c>
      <c r="AU445" s="3">
        <v>450000</v>
      </c>
      <c r="AV445" s="3">
        <v>555634</v>
      </c>
      <c r="AW445" s="3">
        <v>400000</v>
      </c>
      <c r="AX445" s="3">
        <v>493897</v>
      </c>
      <c r="AY445" s="3">
        <v>80.988578990590796</v>
      </c>
      <c r="AZ445" s="3" t="s">
        <v>82</v>
      </c>
      <c r="BB445" s="3" t="s">
        <v>2286</v>
      </c>
      <c r="BC445" s="3" t="s">
        <v>2287</v>
      </c>
      <c r="BD445" s="8">
        <v>4</v>
      </c>
    </row>
    <row r="446" spans="1:56" ht="14.25" customHeight="1" thickBot="1">
      <c r="A446" s="3" t="s">
        <v>2288</v>
      </c>
      <c r="B446" s="3" t="s">
        <v>2040</v>
      </c>
      <c r="C446" s="3" t="s">
        <v>2289</v>
      </c>
      <c r="E446" s="3" t="s">
        <v>71</v>
      </c>
      <c r="F446" s="3">
        <f t="shared" si="2"/>
        <v>3</v>
      </c>
      <c r="G446" s="3" t="s">
        <v>119</v>
      </c>
      <c r="H446" s="3">
        <f t="shared" si="3"/>
        <v>7</v>
      </c>
      <c r="I446" s="3" t="s">
        <v>120</v>
      </c>
      <c r="J446" s="3" t="s">
        <v>120</v>
      </c>
      <c r="M446" s="3" t="s">
        <v>97</v>
      </c>
      <c r="N446" s="3" t="s">
        <v>98</v>
      </c>
      <c r="O446" s="3" t="s">
        <v>78</v>
      </c>
      <c r="P446" s="3" t="s">
        <v>79</v>
      </c>
      <c r="Q446" s="3" t="s">
        <v>2290</v>
      </c>
      <c r="S446" s="18">
        <v>0</v>
      </c>
      <c r="T446" s="18">
        <v>-11.29</v>
      </c>
      <c r="U446" s="18">
        <v>0.31</v>
      </c>
      <c r="AC446" s="3" t="s">
        <v>102</v>
      </c>
      <c r="AD446" s="6">
        <v>36.701459999999997</v>
      </c>
      <c r="AE446" s="6">
        <v>-118.75599699999999</v>
      </c>
      <c r="AH446" s="3">
        <v>2015</v>
      </c>
      <c r="AI446" s="3">
        <v>1</v>
      </c>
      <c r="AJ446" s="8">
        <v>1</v>
      </c>
      <c r="AK446" s="3">
        <v>2015</v>
      </c>
      <c r="AL446" s="3">
        <v>12</v>
      </c>
      <c r="AN446" s="29">
        <v>0</v>
      </c>
      <c r="AW446" s="3">
        <v>4500000</v>
      </c>
      <c r="AX446" s="3">
        <v>5556339</v>
      </c>
      <c r="AY446" s="3">
        <v>80.988578990590796</v>
      </c>
      <c r="AZ446" s="3" t="s">
        <v>89</v>
      </c>
      <c r="BA446" s="3" t="s">
        <v>2291</v>
      </c>
      <c r="BC446" s="3" t="s">
        <v>2292</v>
      </c>
      <c r="BD446" s="8">
        <v>0</v>
      </c>
    </row>
    <row r="447" spans="1:56" ht="14.25" customHeight="1" thickBot="1">
      <c r="A447" s="3" t="s">
        <v>2293</v>
      </c>
      <c r="B447" s="3" t="s">
        <v>2040</v>
      </c>
      <c r="C447" s="3" t="s">
        <v>599</v>
      </c>
      <c r="E447" s="3" t="s">
        <v>71</v>
      </c>
      <c r="F447" s="3">
        <f t="shared" si="2"/>
        <v>3</v>
      </c>
      <c r="G447" s="3" t="s">
        <v>119</v>
      </c>
      <c r="H447" s="3">
        <f t="shared" si="3"/>
        <v>3</v>
      </c>
      <c r="I447" s="3" t="s">
        <v>122</v>
      </c>
      <c r="M447" s="3" t="s">
        <v>97</v>
      </c>
      <c r="N447" s="3" t="s">
        <v>98</v>
      </c>
      <c r="O447" s="3" t="s">
        <v>78</v>
      </c>
      <c r="P447" s="3" t="s">
        <v>79</v>
      </c>
      <c r="Q447" s="3" t="s">
        <v>2294</v>
      </c>
      <c r="R447" s="3" t="s">
        <v>2295</v>
      </c>
      <c r="S447" s="18">
        <v>0</v>
      </c>
      <c r="T447" s="18">
        <v>14.01</v>
      </c>
      <c r="U447" s="18">
        <v>27.11</v>
      </c>
      <c r="Z447" s="3" t="s">
        <v>264</v>
      </c>
      <c r="AC447" s="3" t="s">
        <v>102</v>
      </c>
      <c r="AD447" s="10">
        <v>38.295070000000003</v>
      </c>
      <c r="AE447" s="11">
        <v>-122.288085</v>
      </c>
      <c r="AH447" s="3">
        <v>2015</v>
      </c>
      <c r="AI447" s="3">
        <v>7</v>
      </c>
      <c r="AJ447" s="8">
        <v>22</v>
      </c>
      <c r="AK447" s="3">
        <v>2015</v>
      </c>
      <c r="AL447" s="3">
        <v>8</v>
      </c>
      <c r="AM447" s="3">
        <v>13</v>
      </c>
      <c r="AN447" s="29">
        <v>1</v>
      </c>
      <c r="AQ447" s="3">
        <v>129</v>
      </c>
      <c r="AR447" s="3">
        <v>129</v>
      </c>
      <c r="AW447" s="3">
        <v>2000</v>
      </c>
      <c r="AX447" s="3">
        <v>2469</v>
      </c>
      <c r="AY447" s="3">
        <v>80.988578990590796</v>
      </c>
      <c r="AZ447" s="3" t="s">
        <v>82</v>
      </c>
      <c r="BB447" s="3" t="s">
        <v>2296</v>
      </c>
      <c r="BC447" s="3" t="s">
        <v>2297</v>
      </c>
      <c r="BD447" s="8">
        <v>3</v>
      </c>
    </row>
    <row r="448" spans="1:56" ht="14.25" customHeight="1" thickBot="1">
      <c r="A448" s="3" t="s">
        <v>2298</v>
      </c>
      <c r="B448" s="3" t="s">
        <v>2040</v>
      </c>
      <c r="C448" s="3" t="s">
        <v>2299</v>
      </c>
      <c r="E448" s="3" t="s">
        <v>71</v>
      </c>
      <c r="F448" s="3">
        <f t="shared" si="2"/>
        <v>1</v>
      </c>
      <c r="G448" s="3" t="s">
        <v>94</v>
      </c>
      <c r="H448" s="3">
        <f t="shared" si="3"/>
        <v>1</v>
      </c>
      <c r="I448" s="3" t="s">
        <v>95</v>
      </c>
      <c r="M448" s="3" t="s">
        <v>97</v>
      </c>
      <c r="N448" s="3" t="s">
        <v>98</v>
      </c>
      <c r="O448" s="3" t="s">
        <v>78</v>
      </c>
      <c r="P448" s="3" t="s">
        <v>79</v>
      </c>
      <c r="Q448" s="3" t="s">
        <v>2300</v>
      </c>
      <c r="S448" s="18">
        <v>51.02</v>
      </c>
      <c r="T448" s="18">
        <v>23.56</v>
      </c>
      <c r="U448" s="18">
        <v>29.25</v>
      </c>
      <c r="Z448" s="3" t="s">
        <v>264</v>
      </c>
      <c r="AC448" s="3" t="s">
        <v>102</v>
      </c>
      <c r="AD448" s="6">
        <v>27.91845</v>
      </c>
      <c r="AE448" s="6">
        <v>-82.348805999999996</v>
      </c>
      <c r="AH448" s="3">
        <v>2015</v>
      </c>
      <c r="AI448" s="3">
        <v>7</v>
      </c>
      <c r="AJ448" s="8">
        <v>24</v>
      </c>
      <c r="AK448" s="3">
        <v>2015</v>
      </c>
      <c r="AL448" s="3">
        <v>8</v>
      </c>
      <c r="AM448" s="3">
        <v>5</v>
      </c>
      <c r="AN448" s="29">
        <v>0</v>
      </c>
      <c r="AP448" s="3">
        <v>600</v>
      </c>
      <c r="AR448" s="3">
        <v>600</v>
      </c>
      <c r="AW448" s="3">
        <v>100000</v>
      </c>
      <c r="AX448" s="3">
        <v>123474</v>
      </c>
      <c r="AY448" s="3">
        <v>80.988578990590796</v>
      </c>
      <c r="AZ448" s="3" t="s">
        <v>82</v>
      </c>
      <c r="BB448" s="3" t="s">
        <v>2301</v>
      </c>
      <c r="BC448" s="3" t="s">
        <v>2302</v>
      </c>
      <c r="BD448" s="8">
        <v>3</v>
      </c>
    </row>
    <row r="449" spans="1:56" ht="14.25" customHeight="1" thickBot="1">
      <c r="A449" s="3" t="s">
        <v>2303</v>
      </c>
      <c r="B449" s="3" t="s">
        <v>2047</v>
      </c>
      <c r="C449" s="3" t="s">
        <v>2304</v>
      </c>
      <c r="E449" s="3" t="s">
        <v>71</v>
      </c>
      <c r="F449" s="3">
        <f t="shared" si="2"/>
        <v>2</v>
      </c>
      <c r="G449" s="3" t="s">
        <v>72</v>
      </c>
      <c r="H449" s="3">
        <f t="shared" si="3"/>
        <v>2</v>
      </c>
      <c r="I449" s="3" t="s">
        <v>73</v>
      </c>
      <c r="J449" s="3" t="s">
        <v>74</v>
      </c>
      <c r="K449" s="3" t="s">
        <v>169</v>
      </c>
      <c r="M449" s="3" t="s">
        <v>97</v>
      </c>
      <c r="N449" s="3" t="s">
        <v>98</v>
      </c>
      <c r="O449" s="3" t="s">
        <v>78</v>
      </c>
      <c r="P449" s="3" t="s">
        <v>79</v>
      </c>
      <c r="Q449" s="3" t="s">
        <v>2305</v>
      </c>
      <c r="R449" s="3" t="s">
        <v>2306</v>
      </c>
      <c r="S449" s="18">
        <v>5.84</v>
      </c>
      <c r="T449" s="18">
        <v>7.27</v>
      </c>
      <c r="U449" s="18">
        <v>16.760000000000002</v>
      </c>
      <c r="V449" s="3" t="s">
        <v>95</v>
      </c>
      <c r="W449" s="3" t="s">
        <v>101</v>
      </c>
      <c r="AC449" s="3" t="s">
        <v>81</v>
      </c>
      <c r="AD449" s="6">
        <v>34.445830000000001</v>
      </c>
      <c r="AE449" s="6">
        <v>-119.07793599999999</v>
      </c>
      <c r="AH449" s="3">
        <v>2016</v>
      </c>
      <c r="AI449" s="3">
        <v>1</v>
      </c>
      <c r="AJ449" s="8">
        <v>4</v>
      </c>
      <c r="AK449" s="3">
        <v>2016</v>
      </c>
      <c r="AL449" s="3">
        <v>1</v>
      </c>
      <c r="AM449" s="3">
        <v>8</v>
      </c>
      <c r="AN449" s="29">
        <v>0</v>
      </c>
      <c r="AU449" s="3">
        <v>65000</v>
      </c>
      <c r="AV449" s="3">
        <v>79258</v>
      </c>
      <c r="AW449" s="3">
        <v>125000</v>
      </c>
      <c r="AX449" s="3">
        <v>152420</v>
      </c>
      <c r="AY449" s="3">
        <v>82.010330903135994</v>
      </c>
      <c r="AZ449" s="3" t="s">
        <v>82</v>
      </c>
      <c r="BB449" s="3" t="s">
        <v>2307</v>
      </c>
      <c r="BC449" s="3" t="s">
        <v>2308</v>
      </c>
      <c r="BD449" s="8">
        <v>0</v>
      </c>
    </row>
    <row r="450" spans="1:56" ht="14.25" customHeight="1" thickBot="1">
      <c r="A450" s="3" t="s">
        <v>2309</v>
      </c>
      <c r="B450" s="3" t="s">
        <v>2047</v>
      </c>
      <c r="C450" s="3" t="s">
        <v>304</v>
      </c>
      <c r="E450" s="3" t="s">
        <v>71</v>
      </c>
      <c r="F450" s="3">
        <f t="shared" si="2"/>
        <v>2</v>
      </c>
      <c r="G450" s="3" t="s">
        <v>72</v>
      </c>
      <c r="H450" s="3">
        <f t="shared" si="3"/>
        <v>2</v>
      </c>
      <c r="I450" s="3" t="s">
        <v>73</v>
      </c>
      <c r="J450" s="3" t="s">
        <v>74</v>
      </c>
      <c r="M450" s="3" t="s">
        <v>97</v>
      </c>
      <c r="N450" s="3" t="s">
        <v>98</v>
      </c>
      <c r="O450" s="3" t="s">
        <v>78</v>
      </c>
      <c r="P450" s="3" t="s">
        <v>79</v>
      </c>
      <c r="Q450" s="3" t="s">
        <v>2310</v>
      </c>
      <c r="R450" s="3" t="s">
        <v>1897</v>
      </c>
      <c r="S450" s="18">
        <v>65.38</v>
      </c>
      <c r="T450" s="18">
        <v>16.78</v>
      </c>
      <c r="U450" s="18">
        <v>24.74</v>
      </c>
      <c r="V450" s="3" t="s">
        <v>95</v>
      </c>
      <c r="W450" s="3" t="s">
        <v>101</v>
      </c>
      <c r="Z450" s="3" t="s">
        <v>264</v>
      </c>
      <c r="AC450" s="3" t="s">
        <v>81</v>
      </c>
      <c r="AD450" s="8">
        <v>38.945</v>
      </c>
      <c r="AE450" s="8">
        <v>-80.555000000000007</v>
      </c>
      <c r="AH450" s="3">
        <v>2016</v>
      </c>
      <c r="AI450" s="3">
        <v>6</v>
      </c>
      <c r="AJ450" s="8">
        <v>22</v>
      </c>
      <c r="AK450" s="3">
        <v>2016</v>
      </c>
      <c r="AL450" s="3">
        <v>6</v>
      </c>
      <c r="AM450" s="3">
        <v>24</v>
      </c>
      <c r="AN450" s="29">
        <v>25</v>
      </c>
      <c r="AP450" s="3">
        <v>2000</v>
      </c>
      <c r="AR450" s="3">
        <v>2000</v>
      </c>
      <c r="AU450" s="3">
        <v>200000</v>
      </c>
      <c r="AV450" s="3">
        <v>243872</v>
      </c>
      <c r="AW450" s="3">
        <v>1000000</v>
      </c>
      <c r="AX450" s="3">
        <v>1219359</v>
      </c>
      <c r="AY450" s="3">
        <v>82.010330903135994</v>
      </c>
      <c r="AZ450" s="3" t="s">
        <v>206</v>
      </c>
      <c r="BA450" s="3" t="s">
        <v>2311</v>
      </c>
      <c r="BB450" s="3" t="s">
        <v>2312</v>
      </c>
      <c r="BC450" s="3" t="s">
        <v>2313</v>
      </c>
      <c r="BD450" s="8">
        <v>4</v>
      </c>
    </row>
    <row r="451" spans="1:56" ht="14.25" customHeight="1" thickBot="1">
      <c r="A451" s="3" t="s">
        <v>2314</v>
      </c>
      <c r="B451" s="3" t="s">
        <v>2047</v>
      </c>
      <c r="C451" s="3" t="s">
        <v>2315</v>
      </c>
      <c r="E451" s="3" t="s">
        <v>71</v>
      </c>
      <c r="F451" s="3">
        <f t="shared" si="2"/>
        <v>2</v>
      </c>
      <c r="G451" s="3" t="s">
        <v>72</v>
      </c>
      <c r="H451" s="3">
        <f t="shared" si="3"/>
        <v>2</v>
      </c>
      <c r="I451" s="3" t="s">
        <v>73</v>
      </c>
      <c r="J451" s="3" t="s">
        <v>74</v>
      </c>
      <c r="K451" s="3" t="s">
        <v>807</v>
      </c>
      <c r="M451" s="3" t="s">
        <v>97</v>
      </c>
      <c r="N451" s="3" t="s">
        <v>98</v>
      </c>
      <c r="O451" s="3" t="s">
        <v>78</v>
      </c>
      <c r="P451" s="3" t="s">
        <v>79</v>
      </c>
      <c r="Q451" s="3" t="s">
        <v>2316</v>
      </c>
      <c r="S451" s="18">
        <v>0</v>
      </c>
      <c r="T451" s="18">
        <v>17.37</v>
      </c>
      <c r="U451" s="18">
        <v>30.81</v>
      </c>
      <c r="V451" s="3" t="s">
        <v>355</v>
      </c>
      <c r="W451" s="3" t="s">
        <v>95</v>
      </c>
      <c r="AC451" s="3" t="s">
        <v>81</v>
      </c>
      <c r="AD451" s="8">
        <v>34.193600000000004</v>
      </c>
      <c r="AE451" s="8">
        <v>-97.99</v>
      </c>
      <c r="AH451" s="3">
        <v>2016</v>
      </c>
      <c r="AI451" s="3">
        <v>4</v>
      </c>
      <c r="AJ451" s="8">
        <v>25</v>
      </c>
      <c r="AK451" s="3">
        <v>2016</v>
      </c>
      <c r="AL451" s="3">
        <v>5</v>
      </c>
      <c r="AM451" s="3">
        <v>4</v>
      </c>
      <c r="AN451" s="29">
        <v>6</v>
      </c>
      <c r="AU451" s="3">
        <v>2000000</v>
      </c>
      <c r="AV451" s="3">
        <v>2438717</v>
      </c>
      <c r="AW451" s="3">
        <v>2400000</v>
      </c>
      <c r="AX451" s="3">
        <v>2926461</v>
      </c>
      <c r="AY451" s="3">
        <v>82.010330903135994</v>
      </c>
      <c r="AZ451" s="3" t="s">
        <v>89</v>
      </c>
      <c r="BA451" s="3" t="s">
        <v>2317</v>
      </c>
      <c r="BC451" s="3" t="s">
        <v>2318</v>
      </c>
      <c r="BD451" s="8">
        <v>0</v>
      </c>
    </row>
    <row r="452" spans="1:56" ht="14.25" customHeight="1" thickBot="1">
      <c r="A452" s="3" t="s">
        <v>2319</v>
      </c>
      <c r="B452" s="3" t="s">
        <v>2047</v>
      </c>
      <c r="C452" s="3" t="s">
        <v>2200</v>
      </c>
      <c r="E452" s="3" t="s">
        <v>71</v>
      </c>
      <c r="F452" s="3">
        <f t="shared" si="2"/>
        <v>2</v>
      </c>
      <c r="G452" s="3" t="s">
        <v>72</v>
      </c>
      <c r="H452" s="3">
        <f t="shared" si="3"/>
        <v>2</v>
      </c>
      <c r="I452" s="3" t="s">
        <v>73</v>
      </c>
      <c r="J452" s="3" t="s">
        <v>74</v>
      </c>
      <c r="K452" s="3" t="s">
        <v>807</v>
      </c>
      <c r="M452" s="3" t="s">
        <v>97</v>
      </c>
      <c r="N452" s="3" t="s">
        <v>98</v>
      </c>
      <c r="O452" s="3" t="s">
        <v>78</v>
      </c>
      <c r="P452" s="3" t="s">
        <v>79</v>
      </c>
      <c r="Q452" s="3" t="s">
        <v>2320</v>
      </c>
      <c r="S452" s="18">
        <v>0</v>
      </c>
      <c r="T452" s="18">
        <v>15.34</v>
      </c>
      <c r="U452" s="18">
        <v>24.74</v>
      </c>
      <c r="V452" s="3" t="s">
        <v>355</v>
      </c>
      <c r="AC452" s="3" t="s">
        <v>81</v>
      </c>
      <c r="AD452" s="6">
        <v>32.776269999999997</v>
      </c>
      <c r="AE452" s="6">
        <v>-96.796856000000005</v>
      </c>
      <c r="AH452" s="3">
        <v>2016</v>
      </c>
      <c r="AI452" s="3">
        <v>4</v>
      </c>
      <c r="AJ452" s="8">
        <v>10</v>
      </c>
      <c r="AK452" s="3">
        <v>2016</v>
      </c>
      <c r="AL452" s="3">
        <v>4</v>
      </c>
      <c r="AM452" s="3">
        <v>15</v>
      </c>
      <c r="AN452" s="29">
        <v>1</v>
      </c>
      <c r="AP452" s="3">
        <v>3000</v>
      </c>
      <c r="AR452" s="3">
        <v>3000</v>
      </c>
      <c r="AU452" s="3">
        <v>3000000</v>
      </c>
      <c r="AV452" s="3">
        <v>3658076</v>
      </c>
      <c r="AW452" s="3">
        <v>3900000</v>
      </c>
      <c r="AX452" s="3">
        <v>4755498</v>
      </c>
      <c r="AY452" s="3">
        <v>82.010330903135994</v>
      </c>
      <c r="AZ452" s="3" t="s">
        <v>206</v>
      </c>
      <c r="BA452" s="3" t="s">
        <v>2321</v>
      </c>
      <c r="BB452" s="3" t="s">
        <v>2322</v>
      </c>
      <c r="BC452" s="3" t="s">
        <v>2323</v>
      </c>
      <c r="BD452" s="8">
        <v>4</v>
      </c>
    </row>
    <row r="453" spans="1:56" ht="14.25" customHeight="1" thickBot="1">
      <c r="A453" s="3" t="s">
        <v>2324</v>
      </c>
      <c r="B453" s="3" t="s">
        <v>2047</v>
      </c>
      <c r="C453" s="3" t="s">
        <v>2325</v>
      </c>
      <c r="E453" s="3" t="s">
        <v>71</v>
      </c>
      <c r="F453" s="3">
        <f t="shared" si="2"/>
        <v>2</v>
      </c>
      <c r="G453" s="3" t="s">
        <v>72</v>
      </c>
      <c r="H453" s="3">
        <f t="shared" si="3"/>
        <v>2</v>
      </c>
      <c r="I453" s="3" t="s">
        <v>73</v>
      </c>
      <c r="J453" s="3" t="s">
        <v>74</v>
      </c>
      <c r="K453" s="3" t="s">
        <v>75</v>
      </c>
      <c r="M453" s="3" t="s">
        <v>97</v>
      </c>
      <c r="N453" s="3" t="s">
        <v>98</v>
      </c>
      <c r="O453" s="3" t="s">
        <v>78</v>
      </c>
      <c r="P453" s="3" t="s">
        <v>79</v>
      </c>
      <c r="Q453" s="3" t="s">
        <v>2326</v>
      </c>
      <c r="S453" s="18">
        <v>0</v>
      </c>
      <c r="T453" s="18">
        <v>17.059999999999999</v>
      </c>
      <c r="U453" s="18">
        <v>24.06</v>
      </c>
      <c r="V453" s="3" t="s">
        <v>355</v>
      </c>
      <c r="AC453" s="3" t="s">
        <v>81</v>
      </c>
      <c r="AD453" s="5">
        <v>35.458529560007797</v>
      </c>
      <c r="AE453" s="17">
        <v>-97.356861806463897</v>
      </c>
      <c r="AH453" s="3">
        <v>2016</v>
      </c>
      <c r="AI453" s="3">
        <v>5</v>
      </c>
      <c r="AJ453" s="8">
        <v>8</v>
      </c>
      <c r="AK453" s="3">
        <v>2016</v>
      </c>
      <c r="AL453" s="3">
        <v>5</v>
      </c>
      <c r="AM453" s="3">
        <v>11</v>
      </c>
      <c r="AN453" s="29">
        <v>2</v>
      </c>
      <c r="AO453" s="3">
        <v>10</v>
      </c>
      <c r="AR453" s="3">
        <v>10</v>
      </c>
      <c r="AU453" s="3">
        <v>800000</v>
      </c>
      <c r="AV453" s="3">
        <v>975487</v>
      </c>
      <c r="AW453" s="3">
        <v>1700000</v>
      </c>
      <c r="AX453" s="3">
        <v>2072910</v>
      </c>
      <c r="AY453" s="3">
        <v>82.010330903135994</v>
      </c>
      <c r="AZ453" s="3" t="s">
        <v>89</v>
      </c>
      <c r="BA453" s="3" t="s">
        <v>2327</v>
      </c>
      <c r="BC453" s="3" t="s">
        <v>2328</v>
      </c>
      <c r="BD453" s="8">
        <v>2</v>
      </c>
    </row>
    <row r="454" spans="1:56" ht="14.25" customHeight="1" thickBot="1">
      <c r="A454" s="3" t="s">
        <v>2329</v>
      </c>
      <c r="B454" s="3" t="s">
        <v>2047</v>
      </c>
      <c r="C454" s="3" t="s">
        <v>2330</v>
      </c>
      <c r="E454" s="3" t="s">
        <v>71</v>
      </c>
      <c r="F454" s="3">
        <f t="shared" si="2"/>
        <v>2</v>
      </c>
      <c r="G454" s="3" t="s">
        <v>72</v>
      </c>
      <c r="H454" s="3">
        <f t="shared" si="3"/>
        <v>2</v>
      </c>
      <c r="I454" s="3" t="s">
        <v>73</v>
      </c>
      <c r="J454" s="3" t="s">
        <v>74</v>
      </c>
      <c r="K454" s="3" t="s">
        <v>169</v>
      </c>
      <c r="M454" s="3" t="s">
        <v>97</v>
      </c>
      <c r="N454" s="3" t="s">
        <v>98</v>
      </c>
      <c r="O454" s="3" t="s">
        <v>78</v>
      </c>
      <c r="P454" s="3" t="s">
        <v>79</v>
      </c>
      <c r="Q454" s="3" t="s">
        <v>2331</v>
      </c>
      <c r="S454" s="18">
        <v>0</v>
      </c>
      <c r="T454" s="18">
        <v>8.84</v>
      </c>
      <c r="U454" s="18">
        <v>17.73</v>
      </c>
      <c r="V454" s="3" t="s">
        <v>355</v>
      </c>
      <c r="Z454" s="3" t="s">
        <v>264</v>
      </c>
      <c r="AC454" s="3" t="s">
        <v>81</v>
      </c>
      <c r="AD454" s="8">
        <v>34.193600000000004</v>
      </c>
      <c r="AE454" s="8">
        <v>-97.99</v>
      </c>
      <c r="AH454" s="3">
        <v>2016</v>
      </c>
      <c r="AI454" s="3">
        <v>3</v>
      </c>
      <c r="AJ454" s="8">
        <v>17</v>
      </c>
      <c r="AK454" s="3">
        <v>2016</v>
      </c>
      <c r="AL454" s="3">
        <v>3</v>
      </c>
      <c r="AM454" s="3">
        <v>18</v>
      </c>
      <c r="AN454" s="29">
        <v>1</v>
      </c>
      <c r="AU454" s="3">
        <v>920000</v>
      </c>
      <c r="AV454" s="3">
        <v>1121810</v>
      </c>
      <c r="AW454" s="3">
        <v>1200000</v>
      </c>
      <c r="AX454" s="3">
        <v>1463230</v>
      </c>
      <c r="AY454" s="3">
        <v>82.010330903135994</v>
      </c>
      <c r="AZ454" s="3" t="s">
        <v>89</v>
      </c>
      <c r="BA454" s="3" t="s">
        <v>2332</v>
      </c>
      <c r="BC454" s="3" t="s">
        <v>2333</v>
      </c>
      <c r="BD454" s="8">
        <v>0</v>
      </c>
    </row>
    <row r="455" spans="1:56" ht="14.25" customHeight="1" thickBot="1">
      <c r="A455" s="3" t="s">
        <v>2334</v>
      </c>
      <c r="B455" s="3" t="s">
        <v>2047</v>
      </c>
      <c r="C455" s="3" t="s">
        <v>334</v>
      </c>
      <c r="E455" s="3" t="s">
        <v>71</v>
      </c>
      <c r="F455" s="3">
        <f t="shared" si="2"/>
        <v>2</v>
      </c>
      <c r="G455" s="3" t="s">
        <v>72</v>
      </c>
      <c r="H455" s="3">
        <f t="shared" si="3"/>
        <v>2</v>
      </c>
      <c r="I455" s="3" t="s">
        <v>73</v>
      </c>
      <c r="J455" s="3" t="s">
        <v>74</v>
      </c>
      <c r="K455" s="3" t="s">
        <v>169</v>
      </c>
      <c r="M455" s="3" t="s">
        <v>97</v>
      </c>
      <c r="N455" s="3" t="s">
        <v>98</v>
      </c>
      <c r="O455" s="3" t="s">
        <v>78</v>
      </c>
      <c r="P455" s="3" t="s">
        <v>79</v>
      </c>
      <c r="Q455" s="3" t="s">
        <v>2335</v>
      </c>
      <c r="S455" s="18">
        <v>0</v>
      </c>
      <c r="T455" s="18">
        <v>6.03</v>
      </c>
      <c r="U455" s="18">
        <v>25.64</v>
      </c>
      <c r="V455" s="3" t="s">
        <v>355</v>
      </c>
      <c r="AC455" s="3" t="s">
        <v>81</v>
      </c>
      <c r="AD455" s="8">
        <v>34.193600000000004</v>
      </c>
      <c r="AE455" s="8">
        <v>-97.99</v>
      </c>
      <c r="AH455" s="3">
        <v>2016</v>
      </c>
      <c r="AI455" s="3">
        <v>3</v>
      </c>
      <c r="AJ455" s="8">
        <v>22</v>
      </c>
      <c r="AK455" s="3">
        <v>2016</v>
      </c>
      <c r="AL455" s="3">
        <v>3</v>
      </c>
      <c r="AM455" s="3">
        <v>25</v>
      </c>
      <c r="AN455" s="29">
        <v>0</v>
      </c>
      <c r="AP455" s="3">
        <v>300</v>
      </c>
      <c r="AR455" s="3">
        <v>300</v>
      </c>
      <c r="AU455" s="3">
        <v>1700000</v>
      </c>
      <c r="AV455" s="3">
        <v>2072910</v>
      </c>
      <c r="AW455" s="3">
        <v>2300000</v>
      </c>
      <c r="AX455" s="3">
        <v>2804525</v>
      </c>
      <c r="AY455" s="3">
        <v>82.010330903135994</v>
      </c>
      <c r="AZ455" s="3" t="s">
        <v>89</v>
      </c>
      <c r="BA455" s="3" t="s">
        <v>2336</v>
      </c>
      <c r="BC455" s="3" t="s">
        <v>2337</v>
      </c>
      <c r="BD455" s="8">
        <v>3</v>
      </c>
    </row>
    <row r="456" spans="1:56" ht="14.25" customHeight="1" thickBot="1">
      <c r="A456" s="3" t="s">
        <v>2338</v>
      </c>
      <c r="B456" s="3" t="s">
        <v>2047</v>
      </c>
      <c r="C456" s="3" t="s">
        <v>2339</v>
      </c>
      <c r="E456" s="3" t="s">
        <v>71</v>
      </c>
      <c r="F456" s="3">
        <f t="shared" si="2"/>
        <v>1</v>
      </c>
      <c r="G456" s="3" t="s">
        <v>94</v>
      </c>
      <c r="H456" s="3">
        <f t="shared" si="3"/>
        <v>1</v>
      </c>
      <c r="I456" s="3" t="s">
        <v>95</v>
      </c>
      <c r="J456" s="3" t="s">
        <v>185</v>
      </c>
      <c r="M456" s="3" t="s">
        <v>97</v>
      </c>
      <c r="N456" s="3" t="s">
        <v>98</v>
      </c>
      <c r="O456" s="3" t="s">
        <v>78</v>
      </c>
      <c r="P456" s="3" t="s">
        <v>79</v>
      </c>
      <c r="Q456" s="3" t="s">
        <v>2340</v>
      </c>
      <c r="R456" s="3" t="s">
        <v>2341</v>
      </c>
      <c r="S456" s="18">
        <v>23.47</v>
      </c>
      <c r="T456" s="18">
        <v>14.64</v>
      </c>
      <c r="U456" s="18">
        <v>23.57</v>
      </c>
      <c r="V456" s="3" t="s">
        <v>73</v>
      </c>
      <c r="Z456" s="3" t="s">
        <v>264</v>
      </c>
      <c r="AC456" s="3" t="s">
        <v>102</v>
      </c>
      <c r="AD456" s="8">
        <v>34.193600000000004</v>
      </c>
      <c r="AE456" s="8">
        <v>-97.99</v>
      </c>
      <c r="AH456" s="3">
        <v>2016</v>
      </c>
      <c r="AI456" s="3">
        <v>4</v>
      </c>
      <c r="AJ456" s="8">
        <v>16</v>
      </c>
      <c r="AK456" s="3">
        <v>2016</v>
      </c>
      <c r="AL456" s="3">
        <v>4</v>
      </c>
      <c r="AM456" s="3">
        <v>19</v>
      </c>
      <c r="AN456" s="29">
        <v>9</v>
      </c>
      <c r="AP456" s="3">
        <v>21000</v>
      </c>
      <c r="AR456" s="3">
        <v>21000</v>
      </c>
      <c r="AU456" s="3">
        <v>1000000</v>
      </c>
      <c r="AV456" s="3">
        <v>1219359</v>
      </c>
      <c r="AW456" s="3">
        <v>2000000</v>
      </c>
      <c r="AX456" s="3">
        <v>2438717</v>
      </c>
      <c r="AY456" s="3">
        <v>82.010330903135994</v>
      </c>
      <c r="AZ456" s="3" t="s">
        <v>82</v>
      </c>
      <c r="BB456" s="3" t="s">
        <v>2342</v>
      </c>
      <c r="BC456" s="3" t="s">
        <v>2343</v>
      </c>
      <c r="BD456" s="8">
        <v>5</v>
      </c>
    </row>
    <row r="457" spans="1:56" ht="14.25" customHeight="1" thickBot="1">
      <c r="A457" s="3" t="s">
        <v>2344</v>
      </c>
      <c r="B457" s="3" t="s">
        <v>2047</v>
      </c>
      <c r="C457" s="3" t="s">
        <v>536</v>
      </c>
      <c r="D457" s="3" t="s">
        <v>2345</v>
      </c>
      <c r="E457" s="3" t="s">
        <v>71</v>
      </c>
      <c r="F457" s="3">
        <f t="shared" si="2"/>
        <v>1</v>
      </c>
      <c r="G457" s="3" t="s">
        <v>94</v>
      </c>
      <c r="H457" s="3">
        <f t="shared" si="3"/>
        <v>1</v>
      </c>
      <c r="I457" s="3" t="s">
        <v>95</v>
      </c>
      <c r="M457" s="3" t="s">
        <v>97</v>
      </c>
      <c r="N457" s="3" t="s">
        <v>98</v>
      </c>
      <c r="O457" s="3" t="s">
        <v>78</v>
      </c>
      <c r="P457" s="3" t="s">
        <v>79</v>
      </c>
      <c r="Q457" s="3" t="s">
        <v>2346</v>
      </c>
      <c r="R457" s="3" t="s">
        <v>100</v>
      </c>
      <c r="S457" s="18">
        <v>63.93</v>
      </c>
      <c r="T457" s="18">
        <v>18.47</v>
      </c>
      <c r="U457" s="18">
        <v>21.63</v>
      </c>
      <c r="V457" s="3" t="s">
        <v>73</v>
      </c>
      <c r="Z457" s="3" t="s">
        <v>264</v>
      </c>
      <c r="AC457" s="3" t="s">
        <v>102</v>
      </c>
      <c r="AD457" s="8">
        <v>30.856999999999999</v>
      </c>
      <c r="AE457" s="8">
        <v>-95.537000000000006</v>
      </c>
      <c r="AH457" s="3">
        <v>2016</v>
      </c>
      <c r="AI457" s="3">
        <v>5</v>
      </c>
      <c r="AJ457" s="8">
        <v>27</v>
      </c>
      <c r="AK457" s="3">
        <v>2016</v>
      </c>
      <c r="AL457" s="3">
        <v>6</v>
      </c>
      <c r="AM457" s="3">
        <v>2</v>
      </c>
      <c r="AN457" s="29">
        <v>15</v>
      </c>
      <c r="AU457" s="3">
        <v>200000</v>
      </c>
      <c r="AV457" s="3">
        <v>243872</v>
      </c>
      <c r="AW457" s="3">
        <v>300000</v>
      </c>
      <c r="AX457" s="3">
        <v>365808</v>
      </c>
      <c r="AY457" s="3">
        <v>82.010330903135994</v>
      </c>
      <c r="AZ457" s="3" t="s">
        <v>89</v>
      </c>
      <c r="BA457" s="3" t="s">
        <v>2347</v>
      </c>
      <c r="BC457" s="3" t="s">
        <v>2348</v>
      </c>
      <c r="BD457" s="8">
        <v>0</v>
      </c>
    </row>
    <row r="458" spans="1:56" ht="14.25" customHeight="1" thickBot="1">
      <c r="A458" s="3" t="s">
        <v>2349</v>
      </c>
      <c r="B458" s="3" t="s">
        <v>2047</v>
      </c>
      <c r="C458" s="3" t="s">
        <v>2350</v>
      </c>
      <c r="E458" s="3" t="s">
        <v>71</v>
      </c>
      <c r="F458" s="3">
        <f t="shared" si="2"/>
        <v>2</v>
      </c>
      <c r="G458" s="3" t="s">
        <v>72</v>
      </c>
      <c r="H458" s="3">
        <f t="shared" si="3"/>
        <v>2</v>
      </c>
      <c r="I458" s="3" t="s">
        <v>73</v>
      </c>
      <c r="J458" s="3" t="s">
        <v>74</v>
      </c>
      <c r="K458" s="3" t="s">
        <v>355</v>
      </c>
      <c r="M458" s="3" t="s">
        <v>97</v>
      </c>
      <c r="N458" s="3" t="s">
        <v>98</v>
      </c>
      <c r="O458" s="3" t="s">
        <v>78</v>
      </c>
      <c r="P458" s="3" t="s">
        <v>79</v>
      </c>
      <c r="Q458" s="3" t="s">
        <v>2351</v>
      </c>
      <c r="S458" s="18">
        <v>0</v>
      </c>
      <c r="T458" s="16">
        <v>15.64</v>
      </c>
      <c r="U458" s="18">
        <v>27.62</v>
      </c>
      <c r="V458" s="3" t="s">
        <v>95</v>
      </c>
      <c r="AC458" s="3" t="s">
        <v>81</v>
      </c>
      <c r="AD458" s="8">
        <v>34.193600000000004</v>
      </c>
      <c r="AE458" s="8">
        <v>-97.99</v>
      </c>
      <c r="AH458" s="3">
        <v>2016</v>
      </c>
      <c r="AI458" s="3">
        <v>5</v>
      </c>
      <c r="AJ458" s="8">
        <v>21</v>
      </c>
      <c r="AK458" s="3">
        <v>2016</v>
      </c>
      <c r="AL458" s="3">
        <v>5</v>
      </c>
      <c r="AM458" s="3">
        <v>28</v>
      </c>
      <c r="AN458" s="29">
        <v>9</v>
      </c>
      <c r="AO458" s="3">
        <v>12</v>
      </c>
      <c r="AR458" s="3">
        <v>12</v>
      </c>
      <c r="AU458" s="3">
        <v>800000</v>
      </c>
      <c r="AV458" s="3">
        <v>975487</v>
      </c>
      <c r="AW458" s="3">
        <v>1100000</v>
      </c>
      <c r="AX458" s="3">
        <v>1341294</v>
      </c>
      <c r="AY458" s="3">
        <v>82.010330903135994</v>
      </c>
      <c r="AZ458" s="3" t="s">
        <v>206</v>
      </c>
      <c r="BA458" s="3" t="s">
        <v>2352</v>
      </c>
      <c r="BB458" s="3" t="s">
        <v>2353</v>
      </c>
      <c r="BC458" s="3" t="s">
        <v>2354</v>
      </c>
      <c r="BD458" s="8">
        <v>2</v>
      </c>
    </row>
    <row r="459" spans="1:56" ht="14.25" customHeight="1" thickBot="1">
      <c r="A459" s="3" t="s">
        <v>2355</v>
      </c>
      <c r="B459" s="3" t="s">
        <v>2047</v>
      </c>
      <c r="C459" s="3" t="s">
        <v>639</v>
      </c>
      <c r="E459" s="3" t="s">
        <v>71</v>
      </c>
      <c r="F459" s="3">
        <f t="shared" si="2"/>
        <v>2</v>
      </c>
      <c r="G459" s="3" t="s">
        <v>72</v>
      </c>
      <c r="H459" s="3">
        <f t="shared" si="3"/>
        <v>2</v>
      </c>
      <c r="I459" s="3" t="s">
        <v>73</v>
      </c>
      <c r="J459" s="3" t="s">
        <v>74</v>
      </c>
      <c r="K459" s="3" t="s">
        <v>169</v>
      </c>
      <c r="M459" s="3" t="s">
        <v>97</v>
      </c>
      <c r="N459" s="3" t="s">
        <v>98</v>
      </c>
      <c r="O459" s="3" t="s">
        <v>78</v>
      </c>
      <c r="P459" s="3" t="s">
        <v>79</v>
      </c>
      <c r="Q459" s="3" t="s">
        <v>2356</v>
      </c>
      <c r="S459" s="18">
        <v>25.94</v>
      </c>
      <c r="T459" s="18">
        <v>-1.58</v>
      </c>
      <c r="U459" s="18">
        <v>10.44</v>
      </c>
      <c r="V459" s="3" t="s">
        <v>95</v>
      </c>
      <c r="Z459" s="3" t="s">
        <v>264</v>
      </c>
      <c r="AC459" s="3" t="s">
        <v>81</v>
      </c>
      <c r="AD459" s="6">
        <v>36.701459999999997</v>
      </c>
      <c r="AE459" s="6">
        <v>-118.75599699999999</v>
      </c>
      <c r="AH459" s="3">
        <v>2016</v>
      </c>
      <c r="AI459" s="3">
        <v>3</v>
      </c>
      <c r="AJ459" s="8">
        <v>4</v>
      </c>
      <c r="AK459" s="3">
        <v>2016</v>
      </c>
      <c r="AL459" s="3">
        <v>3</v>
      </c>
      <c r="AM459" s="3">
        <v>12</v>
      </c>
      <c r="AN459" s="29">
        <v>7</v>
      </c>
      <c r="AU459" s="3">
        <v>560000</v>
      </c>
      <c r="AV459" s="3">
        <v>682841</v>
      </c>
      <c r="AW459" s="3">
        <v>1600000</v>
      </c>
      <c r="AX459" s="3">
        <v>1950974</v>
      </c>
      <c r="AY459" s="3">
        <v>82.010330903135994</v>
      </c>
      <c r="AZ459" s="3" t="s">
        <v>89</v>
      </c>
      <c r="BA459" s="3" t="s">
        <v>2357</v>
      </c>
      <c r="BC459" s="3" t="s">
        <v>2358</v>
      </c>
      <c r="BD459" s="8">
        <v>0</v>
      </c>
    </row>
    <row r="460" spans="1:56" ht="14.25" customHeight="1" thickBot="1">
      <c r="A460" s="3" t="s">
        <v>2359</v>
      </c>
      <c r="B460" s="3" t="s">
        <v>2047</v>
      </c>
      <c r="C460" s="3" t="s">
        <v>1328</v>
      </c>
      <c r="E460" s="3" t="s">
        <v>71</v>
      </c>
      <c r="F460" s="3">
        <f t="shared" si="2"/>
        <v>2</v>
      </c>
      <c r="G460" s="3" t="s">
        <v>72</v>
      </c>
      <c r="H460" s="3">
        <f t="shared" si="3"/>
        <v>2</v>
      </c>
      <c r="I460" s="3" t="s">
        <v>73</v>
      </c>
      <c r="J460" s="3" t="s">
        <v>74</v>
      </c>
      <c r="K460" s="3" t="s">
        <v>127</v>
      </c>
      <c r="L460" s="3" t="s">
        <v>2360</v>
      </c>
      <c r="M460" s="3" t="s">
        <v>97</v>
      </c>
      <c r="N460" s="3" t="s">
        <v>98</v>
      </c>
      <c r="O460" s="3" t="s">
        <v>78</v>
      </c>
      <c r="P460" s="3" t="s">
        <v>79</v>
      </c>
      <c r="Q460" s="3" t="s">
        <v>2361</v>
      </c>
      <c r="S460" s="18">
        <v>21.62</v>
      </c>
      <c r="T460" s="18">
        <v>-5.57</v>
      </c>
      <c r="U460" s="18">
        <v>-1.52</v>
      </c>
      <c r="V460" s="3" t="s">
        <v>343</v>
      </c>
      <c r="Z460" s="3" t="s">
        <v>264</v>
      </c>
      <c r="AC460" s="3" t="s">
        <v>81</v>
      </c>
      <c r="AD460" s="5">
        <v>38.9006179945439</v>
      </c>
      <c r="AE460" s="17">
        <v>-77.021452135937693</v>
      </c>
      <c r="AH460" s="3">
        <v>2016</v>
      </c>
      <c r="AI460" s="3">
        <v>1</v>
      </c>
      <c r="AJ460" s="8">
        <v>23</v>
      </c>
      <c r="AK460" s="3">
        <v>2016</v>
      </c>
      <c r="AL460" s="3">
        <v>1</v>
      </c>
      <c r="AM460" s="3">
        <v>26</v>
      </c>
      <c r="AN460" s="29">
        <v>50</v>
      </c>
      <c r="AO460" s="3">
        <v>12</v>
      </c>
      <c r="AP460" s="3">
        <v>85000000</v>
      </c>
      <c r="AR460" s="3">
        <v>85000012</v>
      </c>
      <c r="AU460" s="3">
        <v>240000</v>
      </c>
      <c r="AV460" s="3">
        <v>292646</v>
      </c>
      <c r="AW460" s="3">
        <v>550000</v>
      </c>
      <c r="AX460" s="3">
        <v>670647</v>
      </c>
      <c r="AY460" s="3">
        <v>82.010330903135994</v>
      </c>
      <c r="AZ460" s="3" t="s">
        <v>89</v>
      </c>
      <c r="BA460" s="3" t="s">
        <v>2362</v>
      </c>
      <c r="BC460" s="3" t="s">
        <v>2363</v>
      </c>
      <c r="BD460" s="8">
        <v>8</v>
      </c>
    </row>
    <row r="461" spans="1:56" ht="14.25" customHeight="1" thickBot="1">
      <c r="A461" s="3" t="s">
        <v>2364</v>
      </c>
      <c r="B461" s="3" t="s">
        <v>2047</v>
      </c>
      <c r="C461" s="3" t="s">
        <v>2365</v>
      </c>
      <c r="E461" s="3" t="s">
        <v>71</v>
      </c>
      <c r="F461" s="3">
        <f t="shared" si="2"/>
        <v>2</v>
      </c>
      <c r="G461" s="3" t="s">
        <v>72</v>
      </c>
      <c r="H461" s="3">
        <f t="shared" si="3"/>
        <v>2</v>
      </c>
      <c r="I461" s="3" t="s">
        <v>73</v>
      </c>
      <c r="J461" s="3" t="s">
        <v>74</v>
      </c>
      <c r="K461" s="3" t="s">
        <v>127</v>
      </c>
      <c r="M461" s="3" t="s">
        <v>97</v>
      </c>
      <c r="N461" s="3" t="s">
        <v>98</v>
      </c>
      <c r="O461" s="3" t="s">
        <v>78</v>
      </c>
      <c r="P461" s="3" t="s">
        <v>79</v>
      </c>
      <c r="Q461" s="3" t="s">
        <v>2366</v>
      </c>
      <c r="S461" s="18">
        <v>17.97</v>
      </c>
      <c r="T461" s="18">
        <v>14.21</v>
      </c>
      <c r="U461" s="18">
        <v>18.399999999999999</v>
      </c>
      <c r="V461" s="3" t="s">
        <v>2032</v>
      </c>
      <c r="Z461" s="3" t="s">
        <v>264</v>
      </c>
      <c r="AC461" s="3" t="s">
        <v>81</v>
      </c>
      <c r="AD461" s="5">
        <v>33.211328480067003</v>
      </c>
      <c r="AE461" s="17">
        <v>-86.683505731142105</v>
      </c>
      <c r="AH461" s="3">
        <v>2016</v>
      </c>
      <c r="AI461" s="3">
        <v>2</v>
      </c>
      <c r="AJ461" s="8">
        <v>22</v>
      </c>
      <c r="AK461" s="3">
        <v>2016</v>
      </c>
      <c r="AL461" s="3">
        <v>2</v>
      </c>
      <c r="AM461" s="3">
        <v>25</v>
      </c>
      <c r="AN461" s="29">
        <v>10</v>
      </c>
      <c r="AO461" s="3">
        <v>12</v>
      </c>
      <c r="AR461" s="3">
        <v>12</v>
      </c>
      <c r="AW461" s="3">
        <v>1200000</v>
      </c>
      <c r="AX461" s="3">
        <v>1463230</v>
      </c>
      <c r="AY461" s="3">
        <v>82.010330903135994</v>
      </c>
      <c r="AZ461" s="3" t="s">
        <v>89</v>
      </c>
      <c r="BA461" s="3" t="s">
        <v>2367</v>
      </c>
      <c r="BC461" s="3" t="s">
        <v>2368</v>
      </c>
      <c r="BD461" s="8">
        <v>2</v>
      </c>
    </row>
    <row r="462" spans="1:56" ht="14.25" customHeight="1" thickBot="1">
      <c r="A462" s="3" t="s">
        <v>2369</v>
      </c>
      <c r="B462" s="3" t="s">
        <v>2047</v>
      </c>
      <c r="C462" s="3" t="s">
        <v>969</v>
      </c>
      <c r="E462" s="3" t="s">
        <v>71</v>
      </c>
      <c r="F462" s="3">
        <f t="shared" si="2"/>
        <v>3</v>
      </c>
      <c r="G462" s="3" t="s">
        <v>119</v>
      </c>
      <c r="H462" s="3">
        <f t="shared" si="3"/>
        <v>3</v>
      </c>
      <c r="I462" s="3" t="s">
        <v>122</v>
      </c>
      <c r="J462" s="3" t="s">
        <v>227</v>
      </c>
      <c r="M462" s="3" t="s">
        <v>97</v>
      </c>
      <c r="N462" s="3" t="s">
        <v>98</v>
      </c>
      <c r="O462" s="3" t="s">
        <v>78</v>
      </c>
      <c r="P462" s="3" t="s">
        <v>79</v>
      </c>
      <c r="Q462" s="3" t="s">
        <v>1188</v>
      </c>
      <c r="R462" s="3" t="s">
        <v>2370</v>
      </c>
      <c r="S462" s="18">
        <v>0</v>
      </c>
      <c r="T462" s="18">
        <v>9.02</v>
      </c>
      <c r="U462" s="18">
        <v>23.53</v>
      </c>
      <c r="Z462" s="3" t="s">
        <v>264</v>
      </c>
      <c r="AC462" s="3" t="s">
        <v>102</v>
      </c>
      <c r="AD462" s="6">
        <v>36.701459999999997</v>
      </c>
      <c r="AE462" s="6">
        <v>-118.75599699999999</v>
      </c>
      <c r="AH462" s="3">
        <v>2016</v>
      </c>
      <c r="AI462" s="3">
        <v>6</v>
      </c>
      <c r="AJ462" s="8">
        <v>25</v>
      </c>
      <c r="AK462" s="3">
        <v>2016</v>
      </c>
      <c r="AL462" s="3">
        <v>6</v>
      </c>
      <c r="AM462" s="3">
        <v>26</v>
      </c>
      <c r="AN462" s="29">
        <v>0</v>
      </c>
      <c r="AP462" s="3">
        <v>36</v>
      </c>
      <c r="AQ462" s="3">
        <v>855</v>
      </c>
      <c r="AR462" s="3">
        <v>891</v>
      </c>
      <c r="AW462" s="3">
        <v>150000</v>
      </c>
      <c r="AX462" s="3">
        <v>182904</v>
      </c>
      <c r="AY462" s="3">
        <v>82.010330903135994</v>
      </c>
      <c r="AZ462" s="3" t="s">
        <v>89</v>
      </c>
      <c r="BA462" s="3" t="s">
        <v>1189</v>
      </c>
      <c r="BC462" s="3" t="s">
        <v>1190</v>
      </c>
      <c r="BD462" s="8">
        <v>3</v>
      </c>
    </row>
    <row r="463" spans="1:56" ht="14.25" customHeight="1" thickBot="1">
      <c r="A463" s="3" t="s">
        <v>2371</v>
      </c>
      <c r="B463" s="3" t="s">
        <v>2047</v>
      </c>
      <c r="C463" s="3" t="s">
        <v>1229</v>
      </c>
      <c r="E463" s="3" t="s">
        <v>71</v>
      </c>
      <c r="F463" s="3">
        <f t="shared" si="2"/>
        <v>3</v>
      </c>
      <c r="G463" s="3" t="s">
        <v>119</v>
      </c>
      <c r="H463" s="3">
        <f t="shared" si="3"/>
        <v>3</v>
      </c>
      <c r="I463" s="3" t="s">
        <v>122</v>
      </c>
      <c r="J463" s="3" t="s">
        <v>227</v>
      </c>
      <c r="L463" s="3" t="s">
        <v>2372</v>
      </c>
      <c r="M463" s="3" t="s">
        <v>97</v>
      </c>
      <c r="N463" s="3" t="s">
        <v>98</v>
      </c>
      <c r="O463" s="3" t="s">
        <v>78</v>
      </c>
      <c r="P463" s="3" t="s">
        <v>79</v>
      </c>
      <c r="Q463" s="3" t="s">
        <v>2373</v>
      </c>
      <c r="R463" s="3" t="s">
        <v>120</v>
      </c>
      <c r="S463" s="18">
        <v>0</v>
      </c>
      <c r="T463" s="18">
        <v>19.670000000000002</v>
      </c>
      <c r="U463" s="18">
        <v>34.299999999999997</v>
      </c>
      <c r="AC463" s="3" t="s">
        <v>102</v>
      </c>
      <c r="AD463" s="5">
        <v>34.116856490937501</v>
      </c>
      <c r="AE463" s="17">
        <v>-118.29916404320601</v>
      </c>
      <c r="AH463" s="3">
        <v>2016</v>
      </c>
      <c r="AI463" s="3">
        <v>7</v>
      </c>
      <c r="AJ463" s="8">
        <v>24</v>
      </c>
      <c r="AK463" s="3">
        <v>2016</v>
      </c>
      <c r="AL463" s="3">
        <v>8</v>
      </c>
      <c r="AM463" s="3">
        <v>1</v>
      </c>
      <c r="AN463" s="29">
        <v>2</v>
      </c>
      <c r="AP463" s="3">
        <v>420</v>
      </c>
      <c r="AR463" s="3">
        <v>420</v>
      </c>
      <c r="AW463" s="3">
        <v>50000</v>
      </c>
      <c r="AX463" s="3">
        <v>60968</v>
      </c>
      <c r="AY463" s="3">
        <v>82.010330903135994</v>
      </c>
      <c r="AZ463" s="3" t="s">
        <v>82</v>
      </c>
      <c r="BB463" s="3" t="s">
        <v>2374</v>
      </c>
      <c r="BC463" s="3" t="s">
        <v>2375</v>
      </c>
      <c r="BD463" s="8">
        <v>3</v>
      </c>
    </row>
    <row r="464" spans="1:56" ht="14.25" customHeight="1" thickBot="1">
      <c r="A464" s="3" t="s">
        <v>2376</v>
      </c>
      <c r="B464" s="3" t="s">
        <v>2047</v>
      </c>
      <c r="C464" s="3" t="s">
        <v>273</v>
      </c>
      <c r="E464" s="3" t="s">
        <v>71</v>
      </c>
      <c r="F464" s="3">
        <f t="shared" si="2"/>
        <v>3</v>
      </c>
      <c r="G464" s="3" t="s">
        <v>119</v>
      </c>
      <c r="H464" s="3">
        <f t="shared" si="3"/>
        <v>3</v>
      </c>
      <c r="I464" s="3" t="s">
        <v>122</v>
      </c>
      <c r="J464" s="3" t="s">
        <v>227</v>
      </c>
      <c r="L464" s="3" t="s">
        <v>2377</v>
      </c>
      <c r="M464" s="3" t="s">
        <v>97</v>
      </c>
      <c r="N464" s="3" t="s">
        <v>98</v>
      </c>
      <c r="O464" s="3" t="s">
        <v>78</v>
      </c>
      <c r="P464" s="3" t="s">
        <v>79</v>
      </c>
      <c r="Q464" s="3" t="s">
        <v>2378</v>
      </c>
      <c r="S464" s="18">
        <v>0</v>
      </c>
      <c r="T464" s="18">
        <v>18.75</v>
      </c>
      <c r="U464" s="18">
        <v>36.630000000000003</v>
      </c>
      <c r="AC464" s="3" t="s">
        <v>102</v>
      </c>
      <c r="AD464" s="5">
        <v>38.899956059295903</v>
      </c>
      <c r="AE464" s="17">
        <v>-122.626346353727</v>
      </c>
      <c r="AH464" s="3">
        <v>2016</v>
      </c>
      <c r="AI464" s="3">
        <v>8</v>
      </c>
      <c r="AJ464" s="8">
        <v>13</v>
      </c>
      <c r="AK464" s="3">
        <v>2016</v>
      </c>
      <c r="AL464" s="3">
        <v>8</v>
      </c>
      <c r="AM464" s="3">
        <v>16</v>
      </c>
      <c r="AN464" s="29">
        <v>0</v>
      </c>
      <c r="AQ464" s="3">
        <v>567</v>
      </c>
      <c r="AR464" s="3">
        <v>567</v>
      </c>
      <c r="AW464" s="3">
        <v>100000</v>
      </c>
      <c r="AX464" s="3">
        <v>121936</v>
      </c>
      <c r="AY464" s="3">
        <v>82.010330903135994</v>
      </c>
      <c r="AZ464" s="3" t="s">
        <v>82</v>
      </c>
      <c r="BB464" s="3" t="s">
        <v>2379</v>
      </c>
      <c r="BC464" s="3" t="s">
        <v>1152</v>
      </c>
      <c r="BD464" s="8">
        <v>3</v>
      </c>
    </row>
    <row r="465" spans="1:56" ht="14.25" customHeight="1" thickBot="1">
      <c r="A465" s="3" t="s">
        <v>2380</v>
      </c>
      <c r="B465" s="3" t="s">
        <v>2047</v>
      </c>
      <c r="C465" s="3" t="s">
        <v>1235</v>
      </c>
      <c r="E465" s="3" t="s">
        <v>71</v>
      </c>
      <c r="F465" s="3">
        <f t="shared" si="2"/>
        <v>1</v>
      </c>
      <c r="G465" s="3" t="s">
        <v>94</v>
      </c>
      <c r="H465" s="3">
        <f t="shared" si="3"/>
        <v>1</v>
      </c>
      <c r="I465" s="3" t="s">
        <v>95</v>
      </c>
      <c r="M465" s="3" t="s">
        <v>97</v>
      </c>
      <c r="N465" s="3" t="s">
        <v>98</v>
      </c>
      <c r="O465" s="3" t="s">
        <v>78</v>
      </c>
      <c r="P465" s="3" t="s">
        <v>79</v>
      </c>
      <c r="Q465" s="3" t="s">
        <v>2381</v>
      </c>
      <c r="S465" s="18">
        <v>0</v>
      </c>
      <c r="T465" s="18">
        <v>11.23</v>
      </c>
      <c r="U465" s="18">
        <v>23.08</v>
      </c>
      <c r="AC465" s="3" t="s">
        <v>102</v>
      </c>
      <c r="AD465" s="5">
        <v>38.902227127275602</v>
      </c>
      <c r="AE465" s="17">
        <v>-122.618793253748</v>
      </c>
      <c r="AH465" s="3">
        <v>2016</v>
      </c>
      <c r="AI465" s="3">
        <v>4</v>
      </c>
      <c r="AJ465" s="8">
        <v>30</v>
      </c>
      <c r="AK465" s="3">
        <v>2016</v>
      </c>
      <c r="AL465" s="3">
        <v>4</v>
      </c>
      <c r="AM465" s="3">
        <v>30</v>
      </c>
      <c r="AN465" s="29">
        <v>11</v>
      </c>
      <c r="AY465" s="3">
        <v>82.010330903135994</v>
      </c>
      <c r="AZ465" s="3" t="s">
        <v>82</v>
      </c>
      <c r="BB465" s="3" t="s">
        <v>2382</v>
      </c>
      <c r="BC465" s="3" t="s">
        <v>2383</v>
      </c>
      <c r="BD465" s="8">
        <v>0</v>
      </c>
    </row>
    <row r="466" spans="1:56" ht="14.25" customHeight="1" thickBot="1">
      <c r="A466" s="3" t="s">
        <v>2384</v>
      </c>
      <c r="B466" s="3" t="s">
        <v>2047</v>
      </c>
      <c r="C466" s="3" t="s">
        <v>2385</v>
      </c>
      <c r="E466" s="3" t="s">
        <v>71</v>
      </c>
      <c r="F466" s="3">
        <f t="shared" si="2"/>
        <v>1</v>
      </c>
      <c r="G466" s="3" t="s">
        <v>94</v>
      </c>
      <c r="H466" s="3">
        <f t="shared" si="3"/>
        <v>1</v>
      </c>
      <c r="I466" s="3" t="s">
        <v>95</v>
      </c>
      <c r="M466" s="3" t="s">
        <v>97</v>
      </c>
      <c r="N466" s="3" t="s">
        <v>98</v>
      </c>
      <c r="O466" s="3" t="s">
        <v>78</v>
      </c>
      <c r="P466" s="3" t="s">
        <v>79</v>
      </c>
      <c r="Q466" s="3" t="s">
        <v>2386</v>
      </c>
      <c r="R466" s="3" t="s">
        <v>200</v>
      </c>
      <c r="S466" s="16">
        <v>4.17</v>
      </c>
      <c r="T466" s="18">
        <v>23.87</v>
      </c>
      <c r="U466" s="18">
        <v>33.76</v>
      </c>
      <c r="Z466" s="3" t="s">
        <v>264</v>
      </c>
      <c r="AB466" s="3">
        <v>19554</v>
      </c>
      <c r="AC466" s="3" t="s">
        <v>102</v>
      </c>
      <c r="AD466" s="8">
        <v>29.988</v>
      </c>
      <c r="AE466" s="8">
        <v>-91.8</v>
      </c>
      <c r="AH466" s="3">
        <v>2016</v>
      </c>
      <c r="AI466" s="3">
        <v>8</v>
      </c>
      <c r="AJ466" s="8">
        <v>9</v>
      </c>
      <c r="AK466" s="3">
        <v>2016</v>
      </c>
      <c r="AL466" s="3">
        <v>8</v>
      </c>
      <c r="AM466" s="3">
        <v>16</v>
      </c>
      <c r="AN466" s="29">
        <v>13</v>
      </c>
      <c r="AP466" s="3">
        <v>70000</v>
      </c>
      <c r="AR466" s="3">
        <v>70000</v>
      </c>
      <c r="AU466" s="3">
        <v>2500000</v>
      </c>
      <c r="AV466" s="3">
        <v>3048396</v>
      </c>
      <c r="AW466" s="3">
        <v>10000000</v>
      </c>
      <c r="AX466" s="3">
        <v>12193586</v>
      </c>
      <c r="AY466" s="3">
        <v>82.010330903135994</v>
      </c>
      <c r="AZ466" s="3" t="s">
        <v>89</v>
      </c>
      <c r="BA466" s="3" t="s">
        <v>2387</v>
      </c>
      <c r="BC466" s="3" t="s">
        <v>2388</v>
      </c>
      <c r="BD466" s="8">
        <v>5</v>
      </c>
    </row>
    <row r="467" spans="1:56" ht="14.25" customHeight="1" thickBot="1">
      <c r="A467" s="3" t="s">
        <v>2389</v>
      </c>
      <c r="B467" s="3" t="s">
        <v>2390</v>
      </c>
      <c r="C467" s="3" t="s">
        <v>192</v>
      </c>
      <c r="E467" s="3" t="s">
        <v>71</v>
      </c>
      <c r="F467" s="3">
        <f t="shared" si="2"/>
        <v>3</v>
      </c>
      <c r="G467" s="3" t="s">
        <v>119</v>
      </c>
      <c r="H467" s="3">
        <f t="shared" si="3"/>
        <v>3</v>
      </c>
      <c r="I467" s="3" t="s">
        <v>122</v>
      </c>
      <c r="L467" s="3" t="s">
        <v>2391</v>
      </c>
      <c r="M467" s="3" t="s">
        <v>76</v>
      </c>
      <c r="N467" s="3" t="s">
        <v>77</v>
      </c>
      <c r="O467" s="3" t="s">
        <v>78</v>
      </c>
      <c r="P467" s="3" t="s">
        <v>79</v>
      </c>
      <c r="Q467" s="3" t="s">
        <v>2392</v>
      </c>
      <c r="R467" s="3" t="s">
        <v>2393</v>
      </c>
      <c r="S467" s="18">
        <v>0</v>
      </c>
      <c r="T467" s="18">
        <v>15.12</v>
      </c>
      <c r="U467" s="18">
        <v>34.22</v>
      </c>
      <c r="V467" s="3" t="s">
        <v>220</v>
      </c>
      <c r="Y467" s="3" t="s">
        <v>264</v>
      </c>
      <c r="Z467" s="3" t="s">
        <v>264</v>
      </c>
      <c r="AB467" s="3">
        <v>500</v>
      </c>
      <c r="AC467" s="3" t="s">
        <v>102</v>
      </c>
      <c r="AD467" s="6">
        <v>50.81317</v>
      </c>
      <c r="AE467" s="6">
        <v>-121.32421100000001</v>
      </c>
      <c r="AH467" s="3">
        <v>2017</v>
      </c>
      <c r="AI467" s="3">
        <v>7</v>
      </c>
      <c r="AJ467" s="8">
        <v>7</v>
      </c>
      <c r="AK467" s="3">
        <v>2017</v>
      </c>
      <c r="AL467" s="3">
        <v>9</v>
      </c>
      <c r="AM467" s="3">
        <v>15</v>
      </c>
      <c r="AN467" s="29">
        <v>0</v>
      </c>
      <c r="AP467" s="3">
        <v>43441</v>
      </c>
      <c r="AR467" s="3">
        <v>43441</v>
      </c>
      <c r="AS467" s="3">
        <v>78000</v>
      </c>
      <c r="AT467" s="3">
        <v>93126</v>
      </c>
      <c r="AY467" s="3">
        <v>83.757254551963101</v>
      </c>
      <c r="AZ467" s="3" t="s">
        <v>82</v>
      </c>
      <c r="BB467" s="3" t="s">
        <v>2394</v>
      </c>
      <c r="BC467" s="3" t="s">
        <v>2395</v>
      </c>
      <c r="BD467" s="8">
        <v>5</v>
      </c>
    </row>
    <row r="468" spans="1:56" ht="14.25" customHeight="1" thickBot="1">
      <c r="A468" s="3" t="s">
        <v>2396</v>
      </c>
      <c r="B468" s="3" t="s">
        <v>2390</v>
      </c>
      <c r="C468" s="3" t="s">
        <v>2074</v>
      </c>
      <c r="E468" s="3" t="s">
        <v>71</v>
      </c>
      <c r="F468" s="3">
        <f t="shared" si="2"/>
        <v>1</v>
      </c>
      <c r="G468" s="3" t="s">
        <v>94</v>
      </c>
      <c r="H468" s="3">
        <f t="shared" si="3"/>
        <v>1</v>
      </c>
      <c r="I468" s="3" t="s">
        <v>95</v>
      </c>
      <c r="M468" s="3" t="s">
        <v>76</v>
      </c>
      <c r="N468" s="3" t="s">
        <v>77</v>
      </c>
      <c r="O468" s="3" t="s">
        <v>78</v>
      </c>
      <c r="P468" s="3" t="s">
        <v>79</v>
      </c>
      <c r="Q468" s="3" t="s">
        <v>2397</v>
      </c>
      <c r="R468" s="3" t="s">
        <v>2398</v>
      </c>
      <c r="S468" s="18">
        <v>25.59</v>
      </c>
      <c r="T468" s="18">
        <v>7.43</v>
      </c>
      <c r="U468" s="18">
        <v>8.89</v>
      </c>
      <c r="X468" s="3" t="s">
        <v>264</v>
      </c>
      <c r="Z468" s="3" t="s">
        <v>264</v>
      </c>
      <c r="AB468" s="3">
        <v>79149</v>
      </c>
      <c r="AC468" s="3" t="s">
        <v>102</v>
      </c>
      <c r="AD468" s="8">
        <v>45.575000000000003</v>
      </c>
      <c r="AE468" s="8">
        <v>-74.406000000000006</v>
      </c>
      <c r="AG468" s="3" t="s">
        <v>2399</v>
      </c>
      <c r="AH468" s="3">
        <v>2017</v>
      </c>
      <c r="AI468" s="3">
        <v>5</v>
      </c>
      <c r="AJ468" s="8">
        <v>5</v>
      </c>
      <c r="AK468" s="3">
        <v>2017</v>
      </c>
      <c r="AL468" s="3">
        <v>5</v>
      </c>
      <c r="AM468" s="3">
        <v>20</v>
      </c>
      <c r="AN468" s="29">
        <v>2</v>
      </c>
      <c r="AP468" s="3">
        <v>16113</v>
      </c>
      <c r="AR468" s="3">
        <v>16113</v>
      </c>
      <c r="AU468" s="3">
        <v>91000</v>
      </c>
      <c r="AV468" s="3">
        <v>108647</v>
      </c>
      <c r="AW468" s="3">
        <v>200000</v>
      </c>
      <c r="AX468" s="3">
        <v>238785</v>
      </c>
      <c r="AY468" s="3">
        <v>83.757254551963101</v>
      </c>
      <c r="AZ468" s="3" t="s">
        <v>82</v>
      </c>
      <c r="BB468" s="3" t="s">
        <v>2400</v>
      </c>
      <c r="BC468" s="3" t="s">
        <v>2401</v>
      </c>
      <c r="BD468" s="8">
        <v>5</v>
      </c>
    </row>
    <row r="469" spans="1:56" ht="14.25" customHeight="1" thickBot="1">
      <c r="A469" s="3" t="s">
        <v>2402</v>
      </c>
      <c r="B469" s="3" t="s">
        <v>2390</v>
      </c>
      <c r="C469" s="3" t="s">
        <v>2403</v>
      </c>
      <c r="E469" s="3" t="s">
        <v>71</v>
      </c>
      <c r="F469" s="3">
        <f t="shared" si="2"/>
        <v>1</v>
      </c>
      <c r="G469" s="3" t="s">
        <v>94</v>
      </c>
      <c r="H469" s="3">
        <f t="shared" si="3"/>
        <v>1</v>
      </c>
      <c r="I469" s="3" t="s">
        <v>95</v>
      </c>
      <c r="M469" s="3" t="s">
        <v>76</v>
      </c>
      <c r="N469" s="3" t="s">
        <v>77</v>
      </c>
      <c r="O469" s="3" t="s">
        <v>78</v>
      </c>
      <c r="P469" s="3" t="s">
        <v>79</v>
      </c>
      <c r="Q469" s="3" t="s">
        <v>2404</v>
      </c>
      <c r="R469" s="3" t="s">
        <v>200</v>
      </c>
      <c r="S469" s="18">
        <v>74.48</v>
      </c>
      <c r="T469" s="18">
        <v>16.25</v>
      </c>
      <c r="U469" s="18">
        <v>22.91</v>
      </c>
      <c r="AC469" s="3" t="s">
        <v>102</v>
      </c>
      <c r="AD469" s="6">
        <v>42.316740000000003</v>
      </c>
      <c r="AE469" s="6">
        <v>-83.037339000000003</v>
      </c>
      <c r="AH469" s="3">
        <v>2017</v>
      </c>
      <c r="AI469" s="3">
        <v>8</v>
      </c>
      <c r="AJ469" s="8">
        <v>28</v>
      </c>
      <c r="AK469" s="3">
        <v>2017</v>
      </c>
      <c r="AL469" s="3">
        <v>8</v>
      </c>
      <c r="AM469" s="3">
        <v>29</v>
      </c>
      <c r="AN469" s="29">
        <v>0</v>
      </c>
      <c r="AP469" s="3">
        <v>3000</v>
      </c>
      <c r="AR469" s="3">
        <v>3000</v>
      </c>
      <c r="AU469" s="3">
        <v>129000</v>
      </c>
      <c r="AV469" s="3">
        <v>154017</v>
      </c>
      <c r="AY469" s="3">
        <v>83.757254551963101</v>
      </c>
      <c r="AZ469" s="3" t="s">
        <v>82</v>
      </c>
      <c r="BB469" s="3" t="s">
        <v>2405</v>
      </c>
      <c r="BC469" s="3" t="s">
        <v>2406</v>
      </c>
      <c r="BD469" s="8">
        <v>4</v>
      </c>
    </row>
    <row r="470" spans="1:56" ht="14.25" customHeight="1" thickBot="1">
      <c r="A470" s="3" t="s">
        <v>2407</v>
      </c>
      <c r="B470" s="3" t="s">
        <v>2408</v>
      </c>
      <c r="C470" s="3" t="s">
        <v>789</v>
      </c>
      <c r="E470" s="3" t="s">
        <v>71</v>
      </c>
      <c r="F470" s="3">
        <f t="shared" si="2"/>
        <v>3</v>
      </c>
      <c r="G470" s="3" t="s">
        <v>119</v>
      </c>
      <c r="H470" s="3">
        <f t="shared" si="3"/>
        <v>3</v>
      </c>
      <c r="I470" s="3" t="s">
        <v>122</v>
      </c>
      <c r="J470" s="3" t="s">
        <v>227</v>
      </c>
      <c r="M470" s="3" t="s">
        <v>76</v>
      </c>
      <c r="N470" s="3" t="s">
        <v>77</v>
      </c>
      <c r="O470" s="3" t="s">
        <v>78</v>
      </c>
      <c r="P470" s="3" t="s">
        <v>79</v>
      </c>
      <c r="Q470" s="3" t="s">
        <v>2409</v>
      </c>
      <c r="S470" s="18">
        <v>7.91</v>
      </c>
      <c r="T470" s="18">
        <v>12.59</v>
      </c>
      <c r="U470" s="18">
        <v>20.69</v>
      </c>
      <c r="V470" s="3" t="s">
        <v>2196</v>
      </c>
      <c r="Z470" s="3" t="s">
        <v>264</v>
      </c>
      <c r="AC470" s="3" t="s">
        <v>102</v>
      </c>
      <c r="AD470" s="8">
        <v>50.357999999999997</v>
      </c>
      <c r="AE470" s="8">
        <v>-119.241</v>
      </c>
      <c r="AH470" s="3">
        <v>2018</v>
      </c>
      <c r="AI470" s="3">
        <v>7</v>
      </c>
      <c r="AJ470" s="8">
        <v>1</v>
      </c>
      <c r="AK470" s="3">
        <v>2018</v>
      </c>
      <c r="AL470" s="3">
        <v>8</v>
      </c>
      <c r="AN470" s="29">
        <v>0</v>
      </c>
      <c r="AP470" s="3">
        <v>3000</v>
      </c>
      <c r="AR470" s="3">
        <v>3000</v>
      </c>
      <c r="AY470" s="3">
        <v>85.803026057265399</v>
      </c>
      <c r="AZ470" s="3" t="s">
        <v>89</v>
      </c>
      <c r="BA470" s="3" t="s">
        <v>2410</v>
      </c>
      <c r="BC470" s="3" t="s">
        <v>2411</v>
      </c>
      <c r="BD470" s="8">
        <v>4</v>
      </c>
    </row>
    <row r="471" spans="1:56" ht="14.25" customHeight="1" thickBot="1">
      <c r="A471" s="3" t="s">
        <v>2412</v>
      </c>
      <c r="B471" s="3" t="s">
        <v>2408</v>
      </c>
      <c r="C471" s="3" t="s">
        <v>2413</v>
      </c>
      <c r="E471" s="3" t="s">
        <v>71</v>
      </c>
      <c r="F471" s="3">
        <f t="shared" si="2"/>
        <v>2</v>
      </c>
      <c r="G471" s="3" t="s">
        <v>72</v>
      </c>
      <c r="H471" s="3">
        <f t="shared" si="3"/>
        <v>2</v>
      </c>
      <c r="I471" s="3" t="s">
        <v>73</v>
      </c>
      <c r="J471" s="3" t="s">
        <v>74</v>
      </c>
      <c r="K471" s="3" t="s">
        <v>75</v>
      </c>
      <c r="M471" s="3" t="s">
        <v>76</v>
      </c>
      <c r="N471" s="3" t="s">
        <v>77</v>
      </c>
      <c r="O471" s="3" t="s">
        <v>78</v>
      </c>
      <c r="P471" s="3" t="s">
        <v>79</v>
      </c>
      <c r="Q471" s="3" t="s">
        <v>2414</v>
      </c>
      <c r="S471" s="18">
        <v>30.17</v>
      </c>
      <c r="T471" s="18">
        <v>12.58</v>
      </c>
      <c r="U471" s="18">
        <v>28.18</v>
      </c>
      <c r="AB471" s="3">
        <v>250</v>
      </c>
      <c r="AC471" s="3" t="s">
        <v>81</v>
      </c>
      <c r="AD471" s="10">
        <v>45.42024</v>
      </c>
      <c r="AE471" s="11">
        <v>-75.704041000000004</v>
      </c>
      <c r="AH471" s="3">
        <v>2018</v>
      </c>
      <c r="AI471" s="3">
        <v>9</v>
      </c>
      <c r="AJ471" s="8">
        <v>21</v>
      </c>
      <c r="AK471" s="3">
        <v>2018</v>
      </c>
      <c r="AL471" s="3">
        <v>9</v>
      </c>
      <c r="AM471" s="3">
        <v>21</v>
      </c>
      <c r="AN471" s="29">
        <v>0</v>
      </c>
      <c r="AO471" s="3">
        <v>30</v>
      </c>
      <c r="AP471" s="3">
        <v>900</v>
      </c>
      <c r="AR471" s="3">
        <v>930</v>
      </c>
      <c r="AW471" s="3">
        <v>325000</v>
      </c>
      <c r="AX471" s="3">
        <v>378775</v>
      </c>
      <c r="AY471" s="3">
        <v>85.803026057265399</v>
      </c>
      <c r="AZ471" s="3" t="s">
        <v>206</v>
      </c>
      <c r="BA471" s="3" t="s">
        <v>90</v>
      </c>
      <c r="BB471" s="3" t="s">
        <v>2415</v>
      </c>
      <c r="BC471" s="3" t="s">
        <v>2416</v>
      </c>
      <c r="BD471" s="8">
        <v>3</v>
      </c>
    </row>
    <row r="472" spans="1:56" ht="14.25" customHeight="1" thickBot="1">
      <c r="A472" s="3" t="s">
        <v>2417</v>
      </c>
      <c r="B472" s="3" t="s">
        <v>2408</v>
      </c>
      <c r="C472" s="3" t="s">
        <v>1636</v>
      </c>
      <c r="E472" s="3" t="s">
        <v>71</v>
      </c>
      <c r="F472" s="3">
        <f t="shared" si="2"/>
        <v>2</v>
      </c>
      <c r="G472" s="3" t="s">
        <v>72</v>
      </c>
      <c r="H472" s="3">
        <f t="shared" si="3"/>
        <v>4</v>
      </c>
      <c r="I472" s="3" t="s">
        <v>219</v>
      </c>
      <c r="J472" s="3" t="s">
        <v>220</v>
      </c>
      <c r="M472" s="3" t="s">
        <v>76</v>
      </c>
      <c r="N472" s="3" t="s">
        <v>77</v>
      </c>
      <c r="O472" s="3" t="s">
        <v>78</v>
      </c>
      <c r="P472" s="3" t="s">
        <v>79</v>
      </c>
      <c r="Q472" s="3" t="s">
        <v>2418</v>
      </c>
      <c r="S472" s="18">
        <v>7.0000000000000007E-2</v>
      </c>
      <c r="T472" s="18">
        <v>16.329999999999998</v>
      </c>
      <c r="U472" s="18">
        <v>31.69</v>
      </c>
      <c r="AB472" s="3">
        <v>37</v>
      </c>
      <c r="AC472" s="3" t="s">
        <v>222</v>
      </c>
      <c r="AD472" s="6">
        <v>45.427770000000002</v>
      </c>
      <c r="AE472" s="6">
        <v>-75.710976000000002</v>
      </c>
      <c r="AH472" s="3">
        <v>2018</v>
      </c>
      <c r="AI472" s="3">
        <v>6</v>
      </c>
      <c r="AJ472" s="8">
        <v>29</v>
      </c>
      <c r="AK472" s="3">
        <v>2018</v>
      </c>
      <c r="AL472" s="3">
        <v>7</v>
      </c>
      <c r="AM472" s="3">
        <v>5</v>
      </c>
      <c r="AN472" s="29">
        <v>70</v>
      </c>
      <c r="AY472" s="3">
        <v>85.803026057265399</v>
      </c>
      <c r="AZ472" s="3" t="s">
        <v>82</v>
      </c>
      <c r="BB472" s="3" t="s">
        <v>2419</v>
      </c>
      <c r="BC472" s="3" t="s">
        <v>2420</v>
      </c>
      <c r="BD472" s="8">
        <v>0</v>
      </c>
    </row>
    <row r="473" spans="1:56" ht="14.25" customHeight="1" thickBot="1">
      <c r="A473" s="3" t="s">
        <v>2421</v>
      </c>
      <c r="B473" s="3" t="s">
        <v>2408</v>
      </c>
      <c r="C473" s="3" t="s">
        <v>2422</v>
      </c>
      <c r="E473" s="3" t="s">
        <v>71</v>
      </c>
      <c r="F473" s="3">
        <f t="shared" si="2"/>
        <v>1</v>
      </c>
      <c r="G473" s="3" t="s">
        <v>94</v>
      </c>
      <c r="H473" s="3">
        <f t="shared" si="3"/>
        <v>1</v>
      </c>
      <c r="I473" s="3" t="s">
        <v>95</v>
      </c>
      <c r="M473" s="3" t="s">
        <v>76</v>
      </c>
      <c r="N473" s="3" t="s">
        <v>77</v>
      </c>
      <c r="O473" s="3" t="s">
        <v>78</v>
      </c>
      <c r="P473" s="3" t="s">
        <v>79</v>
      </c>
      <c r="Q473" s="3" t="s">
        <v>2423</v>
      </c>
      <c r="R473" s="3" t="s">
        <v>2424</v>
      </c>
      <c r="S473" s="18">
        <v>1.01</v>
      </c>
      <c r="T473" s="18">
        <v>5.99</v>
      </c>
      <c r="U473" s="18">
        <v>17.600000000000001</v>
      </c>
      <c r="AB473" s="3">
        <v>78669</v>
      </c>
      <c r="AC473" s="3" t="s">
        <v>102</v>
      </c>
      <c r="AD473" s="8">
        <v>50.357999999999997</v>
      </c>
      <c r="AE473" s="8">
        <v>-119.241</v>
      </c>
      <c r="AH473" s="3">
        <v>2018</v>
      </c>
      <c r="AI473" s="3">
        <v>5</v>
      </c>
      <c r="AJ473" s="8">
        <v>10</v>
      </c>
      <c r="AK473" s="3">
        <v>2018</v>
      </c>
      <c r="AL473" s="3">
        <v>5</v>
      </c>
      <c r="AM473" s="3">
        <v>14</v>
      </c>
      <c r="AN473" s="29">
        <v>0</v>
      </c>
      <c r="AP473" s="3">
        <v>4000</v>
      </c>
      <c r="AR473" s="3">
        <v>4000</v>
      </c>
      <c r="AY473" s="3">
        <v>85.803026057265399</v>
      </c>
      <c r="AZ473" s="3" t="s">
        <v>89</v>
      </c>
      <c r="BA473" s="3" t="s">
        <v>2410</v>
      </c>
      <c r="BC473" s="3" t="s">
        <v>2411</v>
      </c>
      <c r="BD473" s="8">
        <v>4</v>
      </c>
    </row>
    <row r="474" spans="1:56" ht="14.25" customHeight="1" thickBot="1">
      <c r="A474" s="3" t="s">
        <v>2425</v>
      </c>
      <c r="B474" s="3" t="s">
        <v>2426</v>
      </c>
      <c r="C474" s="3" t="s">
        <v>1075</v>
      </c>
      <c r="E474" s="3" t="s">
        <v>71</v>
      </c>
      <c r="F474" s="3">
        <f t="shared" si="2"/>
        <v>1</v>
      </c>
      <c r="G474" s="3" t="s">
        <v>94</v>
      </c>
      <c r="H474" s="3">
        <f t="shared" si="3"/>
        <v>1</v>
      </c>
      <c r="I474" s="3" t="s">
        <v>95</v>
      </c>
      <c r="M474" s="3" t="s">
        <v>76</v>
      </c>
      <c r="N474" s="3" t="s">
        <v>77</v>
      </c>
      <c r="O474" s="3" t="s">
        <v>78</v>
      </c>
      <c r="P474" s="3" t="s">
        <v>79</v>
      </c>
      <c r="Q474" s="3" t="s">
        <v>2427</v>
      </c>
      <c r="R474" s="3" t="s">
        <v>2428</v>
      </c>
      <c r="S474" s="18">
        <v>0</v>
      </c>
      <c r="T474" s="18">
        <v>-8.43</v>
      </c>
      <c r="U474" s="18">
        <v>3.59</v>
      </c>
      <c r="V474" s="3" t="s">
        <v>962</v>
      </c>
      <c r="AC474" s="3" t="s">
        <v>102</v>
      </c>
      <c r="AD474" s="6">
        <v>50.000680000000003</v>
      </c>
      <c r="AE474" s="6">
        <v>-86.000977000000006</v>
      </c>
      <c r="AG474" s="3" t="s">
        <v>2429</v>
      </c>
      <c r="AH474" s="3">
        <v>2019</v>
      </c>
      <c r="AI474" s="3">
        <v>4</v>
      </c>
      <c r="AJ474" s="8">
        <v>27</v>
      </c>
      <c r="AK474" s="3">
        <v>2019</v>
      </c>
      <c r="AL474" s="3">
        <v>5</v>
      </c>
      <c r="AM474" s="3">
        <v>5</v>
      </c>
      <c r="AN474" s="29">
        <v>1</v>
      </c>
      <c r="AP474" s="3">
        <v>19500</v>
      </c>
      <c r="AR474" s="3">
        <v>19500</v>
      </c>
      <c r="AU474" s="3">
        <v>210000</v>
      </c>
      <c r="AV474" s="3">
        <v>240390</v>
      </c>
      <c r="AW474" s="3">
        <v>800000</v>
      </c>
      <c r="AX474" s="3">
        <v>915772</v>
      </c>
      <c r="AY474" s="3">
        <v>87.358006773884696</v>
      </c>
      <c r="AZ474" s="3" t="s">
        <v>89</v>
      </c>
      <c r="BA474" s="3" t="s">
        <v>2430</v>
      </c>
      <c r="BC474" s="3" t="s">
        <v>2431</v>
      </c>
      <c r="BD474" s="8">
        <v>5</v>
      </c>
    </row>
    <row r="475" spans="1:56" ht="14.25" customHeight="1" thickBot="1">
      <c r="A475" s="3" t="s">
        <v>2432</v>
      </c>
      <c r="B475" s="3" t="s">
        <v>2390</v>
      </c>
      <c r="C475" s="3" t="s">
        <v>949</v>
      </c>
      <c r="E475" s="3" t="s">
        <v>71</v>
      </c>
      <c r="F475" s="3">
        <f t="shared" si="2"/>
        <v>2</v>
      </c>
      <c r="G475" s="3" t="s">
        <v>72</v>
      </c>
      <c r="H475" s="3">
        <f t="shared" si="3"/>
        <v>2</v>
      </c>
      <c r="I475" s="3" t="s">
        <v>73</v>
      </c>
      <c r="J475" s="3" t="s">
        <v>212</v>
      </c>
      <c r="L475" s="3" t="s">
        <v>2433</v>
      </c>
      <c r="M475" s="3" t="s">
        <v>371</v>
      </c>
      <c r="N475" s="3" t="s">
        <v>372</v>
      </c>
      <c r="O475" s="3" t="s">
        <v>373</v>
      </c>
      <c r="P475" s="3" t="s">
        <v>79</v>
      </c>
      <c r="Q475" s="3" t="s">
        <v>2434</v>
      </c>
      <c r="S475" s="18">
        <v>0</v>
      </c>
      <c r="T475" s="18">
        <v>23.47</v>
      </c>
      <c r="U475" s="18">
        <v>32.840000000000003</v>
      </c>
      <c r="V475" s="3" t="s">
        <v>95</v>
      </c>
      <c r="W475" s="3" t="s">
        <v>962</v>
      </c>
      <c r="Z475" s="3" t="s">
        <v>264</v>
      </c>
      <c r="AB475" s="3">
        <v>240</v>
      </c>
      <c r="AC475" s="3" t="s">
        <v>81</v>
      </c>
      <c r="AD475" s="5">
        <v>18.405513418891701</v>
      </c>
      <c r="AE475" s="17">
        <v>-66.036442832146506</v>
      </c>
      <c r="AG475" s="3" t="s">
        <v>2435</v>
      </c>
      <c r="AH475" s="3">
        <v>2017</v>
      </c>
      <c r="AI475" s="3">
        <v>9</v>
      </c>
      <c r="AJ475" s="8">
        <v>19</v>
      </c>
      <c r="AK475" s="3">
        <v>2017</v>
      </c>
      <c r="AL475" s="3">
        <v>9</v>
      </c>
      <c r="AM475" s="3">
        <v>21</v>
      </c>
      <c r="AN475" s="29">
        <v>64</v>
      </c>
      <c r="AP475" s="3">
        <v>540000</v>
      </c>
      <c r="AQ475" s="3">
        <v>210000</v>
      </c>
      <c r="AR475" s="3">
        <v>750000</v>
      </c>
      <c r="AU475" s="3">
        <v>30000000</v>
      </c>
      <c r="AV475" s="3">
        <v>35817793</v>
      </c>
      <c r="AW475" s="3">
        <v>68000000</v>
      </c>
      <c r="AX475" s="3">
        <v>81186997</v>
      </c>
      <c r="AY475" s="3">
        <v>83.757254551963101</v>
      </c>
      <c r="AZ475" s="3" t="s">
        <v>89</v>
      </c>
      <c r="BA475" s="3" t="s">
        <v>2436</v>
      </c>
      <c r="BC475" s="3" t="s">
        <v>2437</v>
      </c>
      <c r="BD475" s="8">
        <v>6</v>
      </c>
    </row>
    <row r="476" spans="1:56" ht="14.25" customHeight="1" thickBot="1">
      <c r="A476" s="3" t="s">
        <v>2438</v>
      </c>
      <c r="B476" s="3" t="s">
        <v>2390</v>
      </c>
      <c r="C476" s="3" t="s">
        <v>2439</v>
      </c>
      <c r="D476" s="3" t="s">
        <v>2440</v>
      </c>
      <c r="E476" s="3" t="s">
        <v>71</v>
      </c>
      <c r="F476" s="3">
        <f t="shared" si="2"/>
        <v>2</v>
      </c>
      <c r="G476" s="3" t="s">
        <v>72</v>
      </c>
      <c r="H476" s="3">
        <f t="shared" si="3"/>
        <v>2</v>
      </c>
      <c r="I476" s="3" t="s">
        <v>73</v>
      </c>
      <c r="J476" s="3" t="s">
        <v>212</v>
      </c>
      <c r="L476" s="3" t="s">
        <v>2441</v>
      </c>
      <c r="M476" s="3" t="s">
        <v>371</v>
      </c>
      <c r="N476" s="3" t="s">
        <v>372</v>
      </c>
      <c r="O476" s="3" t="s">
        <v>373</v>
      </c>
      <c r="P476" s="3" t="s">
        <v>79</v>
      </c>
      <c r="Q476" s="3" t="s">
        <v>2442</v>
      </c>
      <c r="S476" s="18">
        <v>0</v>
      </c>
      <c r="T476" s="18">
        <v>24.36</v>
      </c>
      <c r="U476" s="18">
        <v>32.76</v>
      </c>
      <c r="V476" s="3" t="s">
        <v>95</v>
      </c>
      <c r="AC476" s="3" t="s">
        <v>81</v>
      </c>
      <c r="AD476" s="5">
        <v>18.147921572898198</v>
      </c>
      <c r="AE476" s="17">
        <v>-65.444247243122504</v>
      </c>
      <c r="AH476" s="3">
        <v>2017</v>
      </c>
      <c r="AI476" s="3">
        <v>9</v>
      </c>
      <c r="AJ476" s="8">
        <v>6</v>
      </c>
      <c r="AK476" s="3">
        <v>2017</v>
      </c>
      <c r="AL476" s="3">
        <v>9</v>
      </c>
      <c r="AM476" s="3">
        <v>7</v>
      </c>
      <c r="AN476" s="29">
        <v>2</v>
      </c>
      <c r="AY476" s="3">
        <v>83.757254551963101</v>
      </c>
      <c r="AZ476" s="3" t="s">
        <v>89</v>
      </c>
      <c r="BA476" s="3" t="s">
        <v>2443</v>
      </c>
      <c r="BC476" s="3" t="s">
        <v>2444</v>
      </c>
      <c r="BD476" s="8">
        <v>0</v>
      </c>
    </row>
    <row r="477" spans="1:56" ht="14.25" customHeight="1" thickBot="1">
      <c r="A477" s="3" t="s">
        <v>2445</v>
      </c>
      <c r="B477" s="3" t="s">
        <v>2408</v>
      </c>
      <c r="C477" s="3" t="s">
        <v>2446</v>
      </c>
      <c r="E477" s="3" t="s">
        <v>71</v>
      </c>
      <c r="F477" s="3">
        <f t="shared" si="2"/>
        <v>2</v>
      </c>
      <c r="G477" s="3" t="s">
        <v>72</v>
      </c>
      <c r="H477" s="3">
        <f t="shared" si="3"/>
        <v>2</v>
      </c>
      <c r="I477" s="3" t="s">
        <v>73</v>
      </c>
      <c r="J477" s="3" t="s">
        <v>212</v>
      </c>
      <c r="L477" s="3" t="s">
        <v>2447</v>
      </c>
      <c r="M477" s="3" t="s">
        <v>371</v>
      </c>
      <c r="N477" s="3" t="s">
        <v>372</v>
      </c>
      <c r="O477" s="3" t="s">
        <v>373</v>
      </c>
      <c r="P477" s="3" t="s">
        <v>79</v>
      </c>
      <c r="S477" s="18">
        <v>0</v>
      </c>
      <c r="T477" s="18">
        <v>23.97</v>
      </c>
      <c r="U477" s="18">
        <v>31.95</v>
      </c>
      <c r="V477" s="3" t="s">
        <v>95</v>
      </c>
      <c r="W477" s="3" t="s">
        <v>101</v>
      </c>
      <c r="AC477" s="3" t="s">
        <v>81</v>
      </c>
      <c r="AD477" s="5">
        <v>18.4116322911525</v>
      </c>
      <c r="AE477" s="17">
        <v>-66.111026115092201</v>
      </c>
      <c r="AH477" s="3">
        <v>2018</v>
      </c>
      <c r="AI477" s="3">
        <v>7</v>
      </c>
      <c r="AJ477" s="8">
        <v>9</v>
      </c>
      <c r="AK477" s="3">
        <v>2018</v>
      </c>
      <c r="AL477" s="3">
        <v>7</v>
      </c>
      <c r="AM477" s="3">
        <v>11</v>
      </c>
      <c r="AN477" s="29">
        <v>0</v>
      </c>
      <c r="AY477" s="3">
        <v>85.803026057265399</v>
      </c>
      <c r="AZ477" s="3" t="s">
        <v>89</v>
      </c>
      <c r="BA477" s="3" t="s">
        <v>726</v>
      </c>
      <c r="BC477" s="3" t="s">
        <v>727</v>
      </c>
      <c r="BD477" s="8">
        <v>0</v>
      </c>
    </row>
    <row r="478" spans="1:56" ht="14.25" customHeight="1" thickBot="1">
      <c r="A478" s="3" t="s">
        <v>2448</v>
      </c>
      <c r="B478" s="3" t="s">
        <v>2408</v>
      </c>
      <c r="C478" s="3" t="s">
        <v>2449</v>
      </c>
      <c r="E478" s="3" t="s">
        <v>71</v>
      </c>
      <c r="F478" s="3">
        <f t="shared" si="2"/>
        <v>1</v>
      </c>
      <c r="G478" s="3" t="s">
        <v>94</v>
      </c>
      <c r="H478" s="3">
        <f t="shared" si="3"/>
        <v>1</v>
      </c>
      <c r="I478" s="3" t="s">
        <v>95</v>
      </c>
      <c r="M478" s="3" t="s">
        <v>371</v>
      </c>
      <c r="N478" s="3" t="s">
        <v>372</v>
      </c>
      <c r="O478" s="3" t="s">
        <v>373</v>
      </c>
      <c r="P478" s="3" t="s">
        <v>79</v>
      </c>
      <c r="Q478" s="3" t="s">
        <v>2450</v>
      </c>
      <c r="R478" s="3" t="s">
        <v>2451</v>
      </c>
      <c r="S478" s="18">
        <v>0</v>
      </c>
      <c r="T478" s="18">
        <v>24.3</v>
      </c>
      <c r="U478" s="18">
        <v>31.99</v>
      </c>
      <c r="AC478" s="3" t="s">
        <v>102</v>
      </c>
      <c r="AD478" s="6">
        <v>18.465299999999999</v>
      </c>
      <c r="AE478" s="6">
        <v>-66.116665999999995</v>
      </c>
      <c r="AH478" s="3">
        <v>2018</v>
      </c>
      <c r="AI478" s="3">
        <v>7</v>
      </c>
      <c r="AJ478" s="8">
        <v>9</v>
      </c>
      <c r="AK478" s="3">
        <v>2018</v>
      </c>
      <c r="AL478" s="3">
        <v>7</v>
      </c>
      <c r="AM478" s="3">
        <v>11</v>
      </c>
      <c r="AN478" s="29">
        <v>0</v>
      </c>
      <c r="AP478" s="3">
        <v>400</v>
      </c>
      <c r="AR478" s="3">
        <v>400</v>
      </c>
      <c r="AY478" s="3">
        <v>85.803026057265399</v>
      </c>
      <c r="AZ478" s="3" t="s">
        <v>89</v>
      </c>
      <c r="BA478" s="3" t="s">
        <v>2452</v>
      </c>
      <c r="BC478" s="3" t="s">
        <v>2453</v>
      </c>
      <c r="BD478" s="8">
        <v>3</v>
      </c>
    </row>
    <row r="479" spans="1:56" ht="14.25" customHeight="1" thickBot="1">
      <c r="A479" s="3" t="s">
        <v>2454</v>
      </c>
      <c r="B479" s="3" t="s">
        <v>2047</v>
      </c>
      <c r="C479" s="3" t="s">
        <v>2455</v>
      </c>
      <c r="E479" s="3" t="s">
        <v>71</v>
      </c>
      <c r="F479" s="3">
        <f t="shared" si="2"/>
        <v>2</v>
      </c>
      <c r="G479" s="3" t="s">
        <v>72</v>
      </c>
      <c r="H479" s="3">
        <f t="shared" si="3"/>
        <v>2</v>
      </c>
      <c r="I479" s="3" t="s">
        <v>73</v>
      </c>
      <c r="J479" s="3" t="s">
        <v>212</v>
      </c>
      <c r="L479" s="3" t="s">
        <v>2456</v>
      </c>
      <c r="M479" s="3" t="s">
        <v>97</v>
      </c>
      <c r="N479" s="3" t="s">
        <v>98</v>
      </c>
      <c r="O479" s="3" t="s">
        <v>78</v>
      </c>
      <c r="P479" s="3" t="s">
        <v>79</v>
      </c>
      <c r="Q479" s="3" t="s">
        <v>2457</v>
      </c>
      <c r="S479" s="18">
        <v>41.25</v>
      </c>
      <c r="T479" s="18">
        <v>21.62</v>
      </c>
      <c r="U479" s="18">
        <v>31.59</v>
      </c>
      <c r="V479" s="3" t="s">
        <v>95</v>
      </c>
      <c r="W479" s="3" t="s">
        <v>1537</v>
      </c>
      <c r="AB479" s="3">
        <v>85</v>
      </c>
      <c r="AC479" s="3" t="s">
        <v>81</v>
      </c>
      <c r="AD479" s="6">
        <v>32.32938</v>
      </c>
      <c r="AE479" s="6">
        <v>-83.113737</v>
      </c>
      <c r="AH479" s="3">
        <v>2016</v>
      </c>
      <c r="AI479" s="3">
        <v>9</v>
      </c>
      <c r="AJ479" s="8">
        <v>1</v>
      </c>
      <c r="AK479" s="3">
        <v>2016</v>
      </c>
      <c r="AL479" s="3">
        <v>9</v>
      </c>
      <c r="AM479" s="3">
        <v>6</v>
      </c>
      <c r="AN479" s="29">
        <v>3</v>
      </c>
      <c r="AP479" s="3">
        <v>13500</v>
      </c>
      <c r="AQ479" s="3">
        <v>570</v>
      </c>
      <c r="AR479" s="3">
        <v>14070</v>
      </c>
      <c r="AU479" s="3">
        <v>270000</v>
      </c>
      <c r="AV479" s="3">
        <v>329227</v>
      </c>
      <c r="AW479" s="3">
        <v>600000</v>
      </c>
      <c r="AX479" s="3">
        <v>731615</v>
      </c>
      <c r="AY479" s="3">
        <v>82.010330903135994</v>
      </c>
      <c r="AZ479" s="3" t="s">
        <v>89</v>
      </c>
      <c r="BA479" s="3" t="s">
        <v>2458</v>
      </c>
      <c r="BC479" s="3" t="s">
        <v>2459</v>
      </c>
      <c r="BD479" s="8">
        <v>5</v>
      </c>
    </row>
    <row r="480" spans="1:56" ht="14.25" customHeight="1" thickBot="1">
      <c r="A480" s="3" t="s">
        <v>2460</v>
      </c>
      <c r="B480" s="3" t="s">
        <v>2047</v>
      </c>
      <c r="C480" s="3" t="s">
        <v>578</v>
      </c>
      <c r="E480" s="3" t="s">
        <v>71</v>
      </c>
      <c r="F480" s="3">
        <f t="shared" si="2"/>
        <v>1</v>
      </c>
      <c r="G480" s="3" t="s">
        <v>94</v>
      </c>
      <c r="H480" s="3">
        <f t="shared" si="3"/>
        <v>1</v>
      </c>
      <c r="I480" s="3" t="s">
        <v>95</v>
      </c>
      <c r="J480" s="3" t="s">
        <v>96</v>
      </c>
      <c r="M480" s="3" t="s">
        <v>97</v>
      </c>
      <c r="N480" s="3" t="s">
        <v>98</v>
      </c>
      <c r="O480" s="3" t="s">
        <v>78</v>
      </c>
      <c r="P480" s="3" t="s">
        <v>79</v>
      </c>
      <c r="Q480" s="3" t="s">
        <v>2461</v>
      </c>
      <c r="R480" s="3" t="s">
        <v>2462</v>
      </c>
      <c r="S480" s="18">
        <v>0</v>
      </c>
      <c r="T480" s="18">
        <v>16.11</v>
      </c>
      <c r="U480" s="18">
        <v>26.91</v>
      </c>
      <c r="V480" s="3" t="s">
        <v>101</v>
      </c>
      <c r="Z480" s="3" t="s">
        <v>264</v>
      </c>
      <c r="AC480" s="3" t="s">
        <v>102</v>
      </c>
      <c r="AD480" s="6">
        <v>42.946599999999997</v>
      </c>
      <c r="AE480" s="6">
        <v>-78.821680000000001</v>
      </c>
      <c r="AH480" s="3">
        <v>2016</v>
      </c>
      <c r="AI480" s="3">
        <v>9</v>
      </c>
      <c r="AJ480" s="8">
        <v>19</v>
      </c>
      <c r="AK480" s="3">
        <v>2016</v>
      </c>
      <c r="AL480" s="3">
        <v>9</v>
      </c>
      <c r="AM480" s="3">
        <v>23</v>
      </c>
      <c r="AN480" s="29">
        <v>1</v>
      </c>
      <c r="AW480" s="3">
        <v>550000</v>
      </c>
      <c r="AX480" s="3">
        <v>670647</v>
      </c>
      <c r="AY480" s="3">
        <v>82.010330903135994</v>
      </c>
      <c r="AZ480" s="3" t="s">
        <v>89</v>
      </c>
      <c r="BA480" s="3" t="s">
        <v>2463</v>
      </c>
      <c r="BC480" s="3" t="s">
        <v>2464</v>
      </c>
      <c r="BD480" s="8">
        <v>0</v>
      </c>
    </row>
    <row r="481" spans="1:56" ht="14.25" customHeight="1" thickBot="1">
      <c r="A481" s="3" t="s">
        <v>2465</v>
      </c>
      <c r="B481" s="3" t="s">
        <v>2047</v>
      </c>
      <c r="C481" s="3" t="s">
        <v>359</v>
      </c>
      <c r="E481" s="3" t="s">
        <v>71</v>
      </c>
      <c r="F481" s="3">
        <f t="shared" si="2"/>
        <v>2</v>
      </c>
      <c r="G481" s="3" t="s">
        <v>72</v>
      </c>
      <c r="H481" s="3">
        <f t="shared" si="3"/>
        <v>2</v>
      </c>
      <c r="I481" s="3" t="s">
        <v>73</v>
      </c>
      <c r="J481" s="3" t="s">
        <v>74</v>
      </c>
      <c r="K481" s="3" t="s">
        <v>127</v>
      </c>
      <c r="M481" s="3" t="s">
        <v>97</v>
      </c>
      <c r="N481" s="3" t="s">
        <v>98</v>
      </c>
      <c r="O481" s="3" t="s">
        <v>78</v>
      </c>
      <c r="P481" s="3" t="s">
        <v>79</v>
      </c>
      <c r="Q481" s="3" t="s">
        <v>2466</v>
      </c>
      <c r="S481" s="18">
        <v>0</v>
      </c>
      <c r="T481" s="18">
        <v>0.46</v>
      </c>
      <c r="U481" s="18">
        <v>16.260000000000002</v>
      </c>
      <c r="V481" s="3" t="s">
        <v>355</v>
      </c>
      <c r="AC481" s="3" t="s">
        <v>81</v>
      </c>
      <c r="AD481" s="6">
        <v>33.258879999999998</v>
      </c>
      <c r="AE481" s="6">
        <v>-86.829533999999995</v>
      </c>
      <c r="AH481" s="3">
        <v>2016</v>
      </c>
      <c r="AI481" s="3">
        <v>11</v>
      </c>
      <c r="AJ481" s="8">
        <v>26</v>
      </c>
      <c r="AK481" s="3">
        <v>2016</v>
      </c>
      <c r="AL481" s="3">
        <v>12</v>
      </c>
      <c r="AM481" s="3">
        <v>1</v>
      </c>
      <c r="AN481" s="29">
        <v>8</v>
      </c>
      <c r="AO481" s="3">
        <v>33</v>
      </c>
      <c r="AR481" s="3">
        <v>33</v>
      </c>
      <c r="AU481" s="3">
        <v>200000</v>
      </c>
      <c r="AV481" s="3">
        <v>243872</v>
      </c>
      <c r="AW481" s="3">
        <v>275000</v>
      </c>
      <c r="AX481" s="3">
        <v>335324</v>
      </c>
      <c r="AY481" s="3">
        <v>82.010330903135994</v>
      </c>
      <c r="AZ481" s="3" t="s">
        <v>89</v>
      </c>
      <c r="BA481" s="3" t="s">
        <v>2467</v>
      </c>
      <c r="BC481" s="3" t="s">
        <v>2468</v>
      </c>
      <c r="BD481" s="8">
        <v>2</v>
      </c>
    </row>
    <row r="482" spans="1:56" ht="14.25" customHeight="1" thickBot="1">
      <c r="A482" s="3" t="s">
        <v>2469</v>
      </c>
      <c r="B482" s="3" t="s">
        <v>2047</v>
      </c>
      <c r="C482" s="3" t="s">
        <v>2470</v>
      </c>
      <c r="E482" s="3" t="s">
        <v>71</v>
      </c>
      <c r="F482" s="3">
        <f t="shared" si="2"/>
        <v>2</v>
      </c>
      <c r="G482" s="3" t="s">
        <v>72</v>
      </c>
      <c r="H482" s="3">
        <f t="shared" si="3"/>
        <v>2</v>
      </c>
      <c r="I482" s="3" t="s">
        <v>73</v>
      </c>
      <c r="J482" s="3" t="s">
        <v>74</v>
      </c>
      <c r="K482" s="3" t="s">
        <v>127</v>
      </c>
      <c r="M482" s="3" t="s">
        <v>97</v>
      </c>
      <c r="N482" s="3" t="s">
        <v>98</v>
      </c>
      <c r="O482" s="3" t="s">
        <v>78</v>
      </c>
      <c r="P482" s="3" t="s">
        <v>79</v>
      </c>
      <c r="Q482" s="3" t="s">
        <v>2471</v>
      </c>
      <c r="S482" s="18">
        <v>0</v>
      </c>
      <c r="T482" s="18">
        <v>-8.09</v>
      </c>
      <c r="U482" s="18">
        <v>-0.98</v>
      </c>
      <c r="V482" s="3" t="s">
        <v>114</v>
      </c>
      <c r="AC482" s="3" t="s">
        <v>81</v>
      </c>
      <c r="AD482" s="5">
        <v>38.6274220337137</v>
      </c>
      <c r="AE482" s="17">
        <v>-94.153387284327493</v>
      </c>
      <c r="AH482" s="3">
        <v>2016</v>
      </c>
      <c r="AI482" s="3">
        <v>12</v>
      </c>
      <c r="AJ482" s="8">
        <v>13</v>
      </c>
      <c r="AK482" s="3">
        <v>2016</v>
      </c>
      <c r="AL482" s="3">
        <v>12</v>
      </c>
      <c r="AM482" s="3">
        <v>19</v>
      </c>
      <c r="AN482" s="29">
        <v>22</v>
      </c>
      <c r="AW482" s="3">
        <v>100000</v>
      </c>
      <c r="AX482" s="3">
        <v>121936</v>
      </c>
      <c r="AY482" s="3">
        <v>82.010330903135994</v>
      </c>
      <c r="AZ482" s="3" t="s">
        <v>89</v>
      </c>
      <c r="BA482" s="3" t="s">
        <v>2472</v>
      </c>
      <c r="BC482" s="3" t="s">
        <v>2473</v>
      </c>
      <c r="BD482" s="8">
        <v>0</v>
      </c>
    </row>
    <row r="483" spans="1:56" ht="14.25" customHeight="1" thickBot="1">
      <c r="A483" s="3" t="s">
        <v>2474</v>
      </c>
      <c r="B483" s="3" t="s">
        <v>2047</v>
      </c>
      <c r="C483" s="3" t="s">
        <v>563</v>
      </c>
      <c r="D483" s="3" t="s">
        <v>2475</v>
      </c>
      <c r="E483" s="3" t="s">
        <v>71</v>
      </c>
      <c r="F483" s="3">
        <f t="shared" si="2"/>
        <v>2</v>
      </c>
      <c r="G483" s="3" t="s">
        <v>72</v>
      </c>
      <c r="H483" s="3">
        <f t="shared" si="3"/>
        <v>2</v>
      </c>
      <c r="I483" s="3" t="s">
        <v>73</v>
      </c>
      <c r="J483" s="3" t="s">
        <v>212</v>
      </c>
      <c r="L483" s="3" t="s">
        <v>2476</v>
      </c>
      <c r="M483" s="3" t="s">
        <v>97</v>
      </c>
      <c r="N483" s="3" t="s">
        <v>98</v>
      </c>
      <c r="O483" s="3" t="s">
        <v>78</v>
      </c>
      <c r="P483" s="3" t="s">
        <v>79</v>
      </c>
      <c r="Q483" s="3" t="s">
        <v>2477</v>
      </c>
      <c r="S483" s="18">
        <v>0</v>
      </c>
      <c r="T483" s="18">
        <v>23.25</v>
      </c>
      <c r="U483" s="18">
        <v>31.96</v>
      </c>
      <c r="V483" s="3" t="s">
        <v>95</v>
      </c>
      <c r="AC483" s="3" t="s">
        <v>81</v>
      </c>
      <c r="AD483" s="6">
        <v>27.756769999999999</v>
      </c>
      <c r="AE483" s="6">
        <v>-81.463982999999999</v>
      </c>
      <c r="AH483" s="3">
        <v>2016</v>
      </c>
      <c r="AI483" s="3">
        <v>10</v>
      </c>
      <c r="AJ483" s="8">
        <v>8</v>
      </c>
      <c r="AK483" s="3">
        <v>2016</v>
      </c>
      <c r="AL483" s="3">
        <v>10</v>
      </c>
      <c r="AM483" s="3">
        <v>12</v>
      </c>
      <c r="AN483" s="29">
        <v>49</v>
      </c>
      <c r="AU483" s="3">
        <v>5000000</v>
      </c>
      <c r="AV483" s="3">
        <v>6096793</v>
      </c>
      <c r="AW483" s="3">
        <v>10000000</v>
      </c>
      <c r="AX483" s="3">
        <v>12193586</v>
      </c>
      <c r="AY483" s="3">
        <v>82.010330903135994</v>
      </c>
      <c r="AZ483" s="3" t="s">
        <v>89</v>
      </c>
      <c r="BA483" s="3" t="s">
        <v>2478</v>
      </c>
      <c r="BC483" s="3" t="s">
        <v>2479</v>
      </c>
      <c r="BD483" s="8">
        <v>0</v>
      </c>
    </row>
    <row r="484" spans="1:56" ht="14.25" customHeight="1" thickBot="1">
      <c r="A484" s="3" t="s">
        <v>2480</v>
      </c>
      <c r="B484" s="3" t="s">
        <v>2047</v>
      </c>
      <c r="C484" s="3" t="s">
        <v>1963</v>
      </c>
      <c r="E484" s="3" t="s">
        <v>71</v>
      </c>
      <c r="F484" s="3">
        <f t="shared" si="2"/>
        <v>2</v>
      </c>
      <c r="G484" s="3" t="s">
        <v>72</v>
      </c>
      <c r="H484" s="3">
        <f t="shared" si="3"/>
        <v>2</v>
      </c>
      <c r="I484" s="3" t="s">
        <v>73</v>
      </c>
      <c r="J484" s="3" t="s">
        <v>74</v>
      </c>
      <c r="K484" s="3" t="s">
        <v>807</v>
      </c>
      <c r="M484" s="3" t="s">
        <v>97</v>
      </c>
      <c r="N484" s="3" t="s">
        <v>98</v>
      </c>
      <c r="O484" s="3" t="s">
        <v>78</v>
      </c>
      <c r="P484" s="3" t="s">
        <v>79</v>
      </c>
      <c r="Q484" s="3" t="s">
        <v>2481</v>
      </c>
      <c r="S484" s="18">
        <v>0</v>
      </c>
      <c r="T484" s="18">
        <v>14.65</v>
      </c>
      <c r="U484" s="18">
        <v>26.9</v>
      </c>
      <c r="AC484" s="3" t="s">
        <v>81</v>
      </c>
      <c r="AD484" s="6">
        <v>31.26389</v>
      </c>
      <c r="AE484" s="6">
        <v>-98.545612000000006</v>
      </c>
      <c r="AH484" s="3">
        <v>2016</v>
      </c>
      <c r="AI484" s="3">
        <v>4</v>
      </c>
      <c r="AJ484" s="8">
        <v>24</v>
      </c>
      <c r="AK484" s="3">
        <v>2017</v>
      </c>
      <c r="AL484" s="3">
        <v>4</v>
      </c>
      <c r="AM484" s="3">
        <v>28</v>
      </c>
      <c r="AN484" s="29">
        <v>6</v>
      </c>
      <c r="AO484" s="3">
        <v>19</v>
      </c>
      <c r="AR484" s="3">
        <v>19</v>
      </c>
      <c r="AU484" s="3">
        <v>800000</v>
      </c>
      <c r="AV484" s="3">
        <v>975487</v>
      </c>
      <c r="AY484" s="3">
        <v>82.010330903135994</v>
      </c>
      <c r="AZ484" s="3" t="s">
        <v>89</v>
      </c>
      <c r="BA484" s="3" t="s">
        <v>2482</v>
      </c>
      <c r="BC484" s="3" t="s">
        <v>2483</v>
      </c>
      <c r="BD484" s="8">
        <v>2</v>
      </c>
    </row>
    <row r="485" spans="1:56" ht="14.25" customHeight="1" thickBot="1">
      <c r="A485" s="3" t="s">
        <v>2484</v>
      </c>
      <c r="B485" s="3" t="s">
        <v>2047</v>
      </c>
      <c r="C485" s="3" t="s">
        <v>1693</v>
      </c>
      <c r="E485" s="3" t="s">
        <v>71</v>
      </c>
      <c r="F485" s="3">
        <f t="shared" si="2"/>
        <v>5</v>
      </c>
      <c r="G485" s="3" t="s">
        <v>175</v>
      </c>
      <c r="H485" s="3">
        <f t="shared" si="3"/>
        <v>6</v>
      </c>
      <c r="I485" s="3" t="s">
        <v>176</v>
      </c>
      <c r="J485" s="3" t="s">
        <v>177</v>
      </c>
      <c r="M485" s="3" t="s">
        <v>97</v>
      </c>
      <c r="N485" s="3" t="s">
        <v>98</v>
      </c>
      <c r="O485" s="3" t="s">
        <v>78</v>
      </c>
      <c r="P485" s="3" t="s">
        <v>79</v>
      </c>
      <c r="Q485" s="3" t="s">
        <v>2485</v>
      </c>
      <c r="S485" s="18">
        <v>7.44</v>
      </c>
      <c r="T485" s="18">
        <v>13.15</v>
      </c>
      <c r="U485" s="18">
        <v>17.88</v>
      </c>
      <c r="AB485" s="3">
        <v>5</v>
      </c>
      <c r="AC485" s="3" t="s">
        <v>179</v>
      </c>
      <c r="AD485" s="8">
        <v>35.991</v>
      </c>
      <c r="AE485" s="8">
        <v>-96.802999999999997</v>
      </c>
      <c r="AH485" s="3">
        <v>2016</v>
      </c>
      <c r="AI485" s="3">
        <v>11</v>
      </c>
      <c r="AJ485" s="8">
        <v>7</v>
      </c>
      <c r="AK485" s="3">
        <v>2016</v>
      </c>
      <c r="AL485" s="3">
        <v>11</v>
      </c>
      <c r="AM485" s="3">
        <v>7</v>
      </c>
      <c r="AN485" s="29">
        <v>0</v>
      </c>
      <c r="AP485" s="3">
        <v>120</v>
      </c>
      <c r="AR485" s="3">
        <v>120</v>
      </c>
      <c r="AW485" s="3">
        <v>20000</v>
      </c>
      <c r="AX485" s="3">
        <v>24387</v>
      </c>
      <c r="AY485" s="3">
        <v>82.010330903135994</v>
      </c>
      <c r="AZ485" s="3" t="s">
        <v>89</v>
      </c>
      <c r="BA485" s="3" t="s">
        <v>195</v>
      </c>
      <c r="BC485" s="3" t="s">
        <v>196</v>
      </c>
      <c r="BD485" s="8">
        <v>3</v>
      </c>
    </row>
    <row r="486" spans="1:56" ht="14.25" customHeight="1" thickBot="1">
      <c r="A486" s="3" t="s">
        <v>2486</v>
      </c>
      <c r="B486" s="3" t="s">
        <v>2047</v>
      </c>
      <c r="C486" s="3" t="s">
        <v>153</v>
      </c>
      <c r="E486" s="3" t="s">
        <v>71</v>
      </c>
      <c r="F486" s="3">
        <f t="shared" si="2"/>
        <v>3</v>
      </c>
      <c r="G486" s="3" t="s">
        <v>119</v>
      </c>
      <c r="H486" s="3">
        <f t="shared" si="3"/>
        <v>3</v>
      </c>
      <c r="I486" s="3" t="s">
        <v>122</v>
      </c>
      <c r="J486" s="3" t="s">
        <v>227</v>
      </c>
      <c r="M486" s="3" t="s">
        <v>97</v>
      </c>
      <c r="N486" s="3" t="s">
        <v>98</v>
      </c>
      <c r="O486" s="3" t="s">
        <v>78</v>
      </c>
      <c r="P486" s="3" t="s">
        <v>79</v>
      </c>
      <c r="Q486" s="3" t="s">
        <v>2487</v>
      </c>
      <c r="S486" s="18">
        <v>0</v>
      </c>
      <c r="T486" s="18">
        <v>11.08</v>
      </c>
      <c r="U486" s="18">
        <v>28.17</v>
      </c>
      <c r="AC486" s="3" t="s">
        <v>102</v>
      </c>
      <c r="AD486" s="6">
        <v>35.7112174564312</v>
      </c>
      <c r="AE486" s="23">
        <v>-83.505913457458902</v>
      </c>
      <c r="AH486" s="3">
        <v>2016</v>
      </c>
      <c r="AI486" s="3">
        <v>11</v>
      </c>
      <c r="AJ486" s="8">
        <v>1</v>
      </c>
      <c r="AK486" s="3">
        <v>2016</v>
      </c>
      <c r="AL486" s="3">
        <v>12</v>
      </c>
      <c r="AM486" s="3">
        <v>31</v>
      </c>
      <c r="AN486" s="29">
        <v>14</v>
      </c>
      <c r="AO486" s="3">
        <v>191</v>
      </c>
      <c r="AQ486" s="3">
        <v>6383</v>
      </c>
      <c r="AR486" s="3">
        <v>6574</v>
      </c>
      <c r="AU486" s="3">
        <v>600000</v>
      </c>
      <c r="AV486" s="3">
        <v>731615</v>
      </c>
      <c r="AW486" s="3">
        <v>1200000</v>
      </c>
      <c r="AX486" s="3">
        <v>1463230</v>
      </c>
      <c r="AY486" s="3">
        <v>82.010330903135994</v>
      </c>
      <c r="AZ486" s="3" t="s">
        <v>82</v>
      </c>
      <c r="BB486" s="3" t="s">
        <v>2488</v>
      </c>
      <c r="BC486" s="3" t="s">
        <v>2489</v>
      </c>
      <c r="BD486" s="8">
        <v>4</v>
      </c>
    </row>
    <row r="487" spans="1:56" ht="14.25" customHeight="1" thickBot="1">
      <c r="A487" s="3" t="s">
        <v>2490</v>
      </c>
      <c r="B487" s="3" t="s">
        <v>2047</v>
      </c>
      <c r="C487" s="3" t="s">
        <v>2491</v>
      </c>
      <c r="E487" s="3" t="s">
        <v>71</v>
      </c>
      <c r="F487" s="3">
        <f t="shared" si="2"/>
        <v>1</v>
      </c>
      <c r="G487" s="3" t="s">
        <v>94</v>
      </c>
      <c r="H487" s="3">
        <f t="shared" si="3"/>
        <v>1</v>
      </c>
      <c r="I487" s="3" t="s">
        <v>95</v>
      </c>
      <c r="M487" s="3" t="s">
        <v>97</v>
      </c>
      <c r="N487" s="3" t="s">
        <v>98</v>
      </c>
      <c r="O487" s="3" t="s">
        <v>78</v>
      </c>
      <c r="P487" s="3" t="s">
        <v>79</v>
      </c>
      <c r="Q487" s="3" t="s">
        <v>2492</v>
      </c>
      <c r="S487" s="18">
        <v>37.24</v>
      </c>
      <c r="T487" s="18">
        <v>14.37</v>
      </c>
      <c r="U487" s="18">
        <v>22.9</v>
      </c>
      <c r="Z487" s="3" t="s">
        <v>264</v>
      </c>
      <c r="AC487" s="3" t="s">
        <v>102</v>
      </c>
      <c r="AD487" s="6">
        <v>31.26389</v>
      </c>
      <c r="AE487" s="6">
        <v>-98.545612000000006</v>
      </c>
      <c r="AG487" s="3" t="s">
        <v>2493</v>
      </c>
      <c r="AH487" s="3">
        <v>2016</v>
      </c>
      <c r="AI487" s="3">
        <v>3</v>
      </c>
      <c r="AJ487" s="8">
        <v>8</v>
      </c>
      <c r="AK487" s="3">
        <v>2016</v>
      </c>
      <c r="AL487" s="3">
        <v>3</v>
      </c>
      <c r="AM487" s="3">
        <v>13</v>
      </c>
      <c r="AN487" s="29">
        <v>5</v>
      </c>
      <c r="AU487" s="3">
        <v>333000</v>
      </c>
      <c r="AV487" s="3">
        <v>406046</v>
      </c>
      <c r="AW487" s="3">
        <v>2300000</v>
      </c>
      <c r="AX487" s="3">
        <v>2804525</v>
      </c>
      <c r="AY487" s="3">
        <v>82.010330903135994</v>
      </c>
      <c r="AZ487" s="3" t="s">
        <v>89</v>
      </c>
      <c r="BA487" s="3" t="s">
        <v>2494</v>
      </c>
      <c r="BC487" s="3" t="s">
        <v>2495</v>
      </c>
      <c r="BD487" s="8">
        <v>0</v>
      </c>
    </row>
    <row r="488" spans="1:56" ht="14.25" customHeight="1" thickBot="1">
      <c r="A488" s="3" t="s">
        <v>2496</v>
      </c>
      <c r="B488" s="3" t="s">
        <v>2390</v>
      </c>
      <c r="C488" s="3" t="s">
        <v>1345</v>
      </c>
      <c r="E488" s="3" t="s">
        <v>71</v>
      </c>
      <c r="F488" s="3">
        <f t="shared" si="2"/>
        <v>2</v>
      </c>
      <c r="G488" s="3" t="s">
        <v>72</v>
      </c>
      <c r="H488" s="3">
        <f t="shared" si="3"/>
        <v>2</v>
      </c>
      <c r="I488" s="3" t="s">
        <v>73</v>
      </c>
      <c r="J488" s="3" t="s">
        <v>74</v>
      </c>
      <c r="K488" s="3" t="s">
        <v>127</v>
      </c>
      <c r="M488" s="3" t="s">
        <v>97</v>
      </c>
      <c r="N488" s="3" t="s">
        <v>98</v>
      </c>
      <c r="O488" s="3" t="s">
        <v>78</v>
      </c>
      <c r="P488" s="3" t="s">
        <v>79</v>
      </c>
      <c r="Q488" s="3" t="s">
        <v>2497</v>
      </c>
      <c r="S488" s="18">
        <v>31</v>
      </c>
      <c r="T488" s="18">
        <v>-11.14</v>
      </c>
      <c r="U488" s="18">
        <v>2.76</v>
      </c>
      <c r="V488" s="3" t="s">
        <v>95</v>
      </c>
      <c r="W488" s="3" t="s">
        <v>101</v>
      </c>
      <c r="AC488" s="3" t="s">
        <v>81</v>
      </c>
      <c r="AD488" s="6">
        <v>36.701459999999997</v>
      </c>
      <c r="AE488" s="6">
        <v>-118.75599699999999</v>
      </c>
      <c r="AH488" s="3">
        <v>2017</v>
      </c>
      <c r="AI488" s="3">
        <v>1</v>
      </c>
      <c r="AJ488" s="8">
        <v>6</v>
      </c>
      <c r="AK488" s="3">
        <v>2017</v>
      </c>
      <c r="AL488" s="3">
        <v>1</v>
      </c>
      <c r="AM488" s="3">
        <v>13</v>
      </c>
      <c r="AN488" s="29">
        <v>3</v>
      </c>
      <c r="AU488" s="3">
        <v>200000</v>
      </c>
      <c r="AV488" s="3">
        <v>238785</v>
      </c>
      <c r="AW488" s="3">
        <v>400000</v>
      </c>
      <c r="AX488" s="3">
        <v>477571</v>
      </c>
      <c r="AY488" s="3">
        <v>83.757254551963101</v>
      </c>
      <c r="AZ488" s="3" t="s">
        <v>89</v>
      </c>
      <c r="BA488" s="3" t="s">
        <v>2498</v>
      </c>
      <c r="BC488" s="3" t="s">
        <v>2499</v>
      </c>
      <c r="BD488" s="8">
        <v>0</v>
      </c>
    </row>
    <row r="489" spans="1:56" ht="14.25" customHeight="1" thickBot="1">
      <c r="A489" s="3" t="s">
        <v>2500</v>
      </c>
      <c r="B489" s="3" t="s">
        <v>2390</v>
      </c>
      <c r="C489" s="3" t="s">
        <v>2501</v>
      </c>
      <c r="E489" s="3" t="s">
        <v>71</v>
      </c>
      <c r="F489" s="3">
        <f t="shared" si="2"/>
        <v>1</v>
      </c>
      <c r="G489" s="3" t="s">
        <v>94</v>
      </c>
      <c r="H489" s="3">
        <f t="shared" si="3"/>
        <v>1</v>
      </c>
      <c r="I489" s="3" t="s">
        <v>95</v>
      </c>
      <c r="M489" s="3" t="s">
        <v>97</v>
      </c>
      <c r="N489" s="3" t="s">
        <v>98</v>
      </c>
      <c r="O489" s="3" t="s">
        <v>78</v>
      </c>
      <c r="P489" s="3" t="s">
        <v>79</v>
      </c>
      <c r="Q489" s="3" t="s">
        <v>2502</v>
      </c>
      <c r="S489" s="18">
        <v>0</v>
      </c>
      <c r="T489" s="18">
        <v>12.58</v>
      </c>
      <c r="U489" s="18">
        <v>30.64</v>
      </c>
      <c r="V489" s="3" t="s">
        <v>73</v>
      </c>
      <c r="W489" s="3" t="s">
        <v>355</v>
      </c>
      <c r="AC489" s="3" t="s">
        <v>102</v>
      </c>
      <c r="AD489" s="5">
        <v>32.549988370822398</v>
      </c>
      <c r="AE489" s="17">
        <v>-95.865219641057394</v>
      </c>
      <c r="AG489" s="3" t="s">
        <v>2503</v>
      </c>
      <c r="AH489" s="3">
        <v>2017</v>
      </c>
      <c r="AI489" s="3">
        <v>4</v>
      </c>
      <c r="AJ489" s="8">
        <v>28</v>
      </c>
      <c r="AK489" s="3">
        <v>2017</v>
      </c>
      <c r="AL489" s="3">
        <v>5</v>
      </c>
      <c r="AM489" s="3">
        <v>1</v>
      </c>
      <c r="AN489" s="29">
        <v>20</v>
      </c>
      <c r="AO489" s="3">
        <v>70</v>
      </c>
      <c r="AR489" s="3">
        <v>70</v>
      </c>
      <c r="AU489" s="3">
        <v>800000</v>
      </c>
      <c r="AV489" s="3">
        <v>955141</v>
      </c>
      <c r="AW489" s="3">
        <v>1700000</v>
      </c>
      <c r="AX489" s="3">
        <v>2029675</v>
      </c>
      <c r="AY489" s="3">
        <v>83.757254551963101</v>
      </c>
      <c r="AZ489" s="3" t="s">
        <v>206</v>
      </c>
      <c r="BA489" s="3" t="s">
        <v>2504</v>
      </c>
      <c r="BB489" s="3" t="s">
        <v>2505</v>
      </c>
      <c r="BC489" s="3" t="s">
        <v>2506</v>
      </c>
      <c r="BD489" s="8">
        <v>2</v>
      </c>
    </row>
    <row r="490" spans="1:56" ht="14.25" customHeight="1" thickBot="1">
      <c r="A490" s="3" t="s">
        <v>2507</v>
      </c>
      <c r="B490" s="3" t="s">
        <v>2390</v>
      </c>
      <c r="C490" s="3" t="s">
        <v>2508</v>
      </c>
      <c r="E490" s="3" t="s">
        <v>71</v>
      </c>
      <c r="F490" s="3">
        <f t="shared" si="2"/>
        <v>2</v>
      </c>
      <c r="G490" s="3" t="s">
        <v>72</v>
      </c>
      <c r="H490" s="3">
        <f t="shared" si="3"/>
        <v>2</v>
      </c>
      <c r="I490" s="3" t="s">
        <v>73</v>
      </c>
      <c r="J490" s="3" t="s">
        <v>74</v>
      </c>
      <c r="K490" s="3" t="s">
        <v>75</v>
      </c>
      <c r="M490" s="3" t="s">
        <v>97</v>
      </c>
      <c r="N490" s="3" t="s">
        <v>98</v>
      </c>
      <c r="O490" s="3" t="s">
        <v>78</v>
      </c>
      <c r="P490" s="3" t="s">
        <v>79</v>
      </c>
      <c r="Q490" s="3" t="s">
        <v>2509</v>
      </c>
      <c r="S490" s="18">
        <v>50.3</v>
      </c>
      <c r="T490" s="18">
        <v>18.77</v>
      </c>
      <c r="U490" s="18">
        <v>34.64</v>
      </c>
      <c r="V490" s="3" t="s">
        <v>95</v>
      </c>
      <c r="W490" s="3" t="s">
        <v>355</v>
      </c>
      <c r="AC490" s="3" t="s">
        <v>81</v>
      </c>
      <c r="AD490" s="5">
        <v>36.143103686226702</v>
      </c>
      <c r="AE490" s="17">
        <v>-95.960448118400507</v>
      </c>
      <c r="AH490" s="3">
        <v>2017</v>
      </c>
      <c r="AI490" s="3">
        <v>8</v>
      </c>
      <c r="AJ490" s="8">
        <v>5</v>
      </c>
      <c r="AK490" s="3">
        <v>2017</v>
      </c>
      <c r="AL490" s="3">
        <v>8</v>
      </c>
      <c r="AM490" s="3">
        <v>8</v>
      </c>
      <c r="AN490" s="29">
        <v>0</v>
      </c>
      <c r="AO490" s="3">
        <v>30</v>
      </c>
      <c r="AP490" s="3">
        <v>600</v>
      </c>
      <c r="AR490" s="3">
        <v>630</v>
      </c>
      <c r="AU490" s="3">
        <v>200000</v>
      </c>
      <c r="AV490" s="3">
        <v>238785</v>
      </c>
      <c r="AW490" s="3">
        <v>200000</v>
      </c>
      <c r="AX490" s="3">
        <v>238785</v>
      </c>
      <c r="AY490" s="3">
        <v>83.757254551963101</v>
      </c>
      <c r="AZ490" s="3" t="s">
        <v>206</v>
      </c>
      <c r="BA490" s="3" t="s">
        <v>2510</v>
      </c>
      <c r="BB490" s="3" t="s">
        <v>2511</v>
      </c>
      <c r="BC490" s="3" t="s">
        <v>2512</v>
      </c>
      <c r="BD490" s="8">
        <v>3</v>
      </c>
    </row>
    <row r="491" spans="1:56" ht="14.25" customHeight="1" thickBot="1">
      <c r="A491" s="3" t="s">
        <v>2513</v>
      </c>
      <c r="B491" s="3" t="s">
        <v>2390</v>
      </c>
      <c r="C491" s="3" t="s">
        <v>1916</v>
      </c>
      <c r="E491" s="3" t="s">
        <v>71</v>
      </c>
      <c r="F491" s="3">
        <f t="shared" si="2"/>
        <v>2</v>
      </c>
      <c r="G491" s="3" t="s">
        <v>72</v>
      </c>
      <c r="H491" s="3">
        <f t="shared" si="3"/>
        <v>2</v>
      </c>
      <c r="I491" s="3" t="s">
        <v>73</v>
      </c>
      <c r="J491" s="3" t="s">
        <v>74</v>
      </c>
      <c r="K491" s="3" t="s">
        <v>127</v>
      </c>
      <c r="M491" s="3" t="s">
        <v>97</v>
      </c>
      <c r="N491" s="3" t="s">
        <v>98</v>
      </c>
      <c r="O491" s="3" t="s">
        <v>78</v>
      </c>
      <c r="P491" s="3" t="s">
        <v>79</v>
      </c>
      <c r="Q491" s="3" t="s">
        <v>2514</v>
      </c>
      <c r="S491" s="18">
        <v>0</v>
      </c>
      <c r="T491" s="18">
        <v>0.2</v>
      </c>
      <c r="U491" s="18">
        <v>5.7</v>
      </c>
      <c r="V491" s="3" t="s">
        <v>129</v>
      </c>
      <c r="W491" s="3" t="s">
        <v>114</v>
      </c>
      <c r="Z491" s="3" t="s">
        <v>264</v>
      </c>
      <c r="AC491" s="3" t="s">
        <v>81</v>
      </c>
      <c r="AD491" s="6">
        <v>32.32938</v>
      </c>
      <c r="AE491" s="6">
        <v>-83.113737</v>
      </c>
      <c r="AH491" s="3">
        <v>2017</v>
      </c>
      <c r="AI491" s="3">
        <v>12</v>
      </c>
      <c r="AJ491" s="8">
        <v>31</v>
      </c>
      <c r="AK491" s="3">
        <v>2018</v>
      </c>
      <c r="AL491" s="3">
        <v>1</v>
      </c>
      <c r="AM491" s="3">
        <v>5</v>
      </c>
      <c r="AN491" s="29">
        <v>22</v>
      </c>
      <c r="AU491" s="3">
        <v>750000</v>
      </c>
      <c r="AV491" s="3">
        <v>895445</v>
      </c>
      <c r="AW491" s="3">
        <v>1100000</v>
      </c>
      <c r="AX491" s="3">
        <v>1313319</v>
      </c>
      <c r="AY491" s="3">
        <v>83.757254551963101</v>
      </c>
      <c r="AZ491" s="3" t="s">
        <v>89</v>
      </c>
      <c r="BA491" s="3" t="s">
        <v>2515</v>
      </c>
      <c r="BC491" s="3" t="s">
        <v>2516</v>
      </c>
      <c r="BD491" s="8">
        <v>0</v>
      </c>
    </row>
    <row r="492" spans="1:56" ht="14.25" customHeight="1" thickBot="1">
      <c r="A492" s="3" t="s">
        <v>2517</v>
      </c>
      <c r="B492" s="3" t="s">
        <v>2390</v>
      </c>
      <c r="C492" s="3" t="s">
        <v>2518</v>
      </c>
      <c r="E492" s="3" t="s">
        <v>71</v>
      </c>
      <c r="F492" s="3">
        <f t="shared" si="2"/>
        <v>2</v>
      </c>
      <c r="G492" s="3" t="s">
        <v>72</v>
      </c>
      <c r="H492" s="3">
        <f t="shared" si="3"/>
        <v>2</v>
      </c>
      <c r="I492" s="3" t="s">
        <v>73</v>
      </c>
      <c r="J492" s="3" t="s">
        <v>74</v>
      </c>
      <c r="M492" s="3" t="s">
        <v>97</v>
      </c>
      <c r="N492" s="3" t="s">
        <v>98</v>
      </c>
      <c r="O492" s="3" t="s">
        <v>78</v>
      </c>
      <c r="P492" s="3" t="s">
        <v>79</v>
      </c>
      <c r="Q492" s="3" t="s">
        <v>2519</v>
      </c>
      <c r="S492" s="18">
        <v>0</v>
      </c>
      <c r="T492" s="18">
        <v>12.68</v>
      </c>
      <c r="U492" s="18">
        <v>22.3</v>
      </c>
      <c r="V492" s="3" t="s">
        <v>101</v>
      </c>
      <c r="W492" s="3" t="s">
        <v>95</v>
      </c>
      <c r="AC492" s="3" t="s">
        <v>81</v>
      </c>
      <c r="AD492" s="5">
        <v>34.089121915700503</v>
      </c>
      <c r="AE492" s="17">
        <v>-117.966949438584</v>
      </c>
      <c r="AH492" s="3">
        <v>2017</v>
      </c>
      <c r="AI492" s="3">
        <v>2</v>
      </c>
      <c r="AJ492" s="8">
        <v>8</v>
      </c>
      <c r="AK492" s="3">
        <v>2017</v>
      </c>
      <c r="AL492" s="3">
        <v>2</v>
      </c>
      <c r="AM492" s="3">
        <v>21</v>
      </c>
      <c r="AN492" s="29">
        <v>5</v>
      </c>
      <c r="AP492" s="3">
        <v>200000</v>
      </c>
      <c r="AR492" s="3">
        <v>200000</v>
      </c>
      <c r="AU492" s="3">
        <v>200000</v>
      </c>
      <c r="AV492" s="3">
        <v>238785</v>
      </c>
      <c r="AW492" s="3">
        <v>1500000</v>
      </c>
      <c r="AX492" s="3">
        <v>1790890</v>
      </c>
      <c r="AY492" s="3">
        <v>83.757254551963101</v>
      </c>
      <c r="AZ492" s="3" t="s">
        <v>89</v>
      </c>
      <c r="BA492" s="3" t="s">
        <v>1189</v>
      </c>
      <c r="BC492" s="3" t="s">
        <v>1190</v>
      </c>
      <c r="BD492" s="8">
        <v>6</v>
      </c>
    </row>
    <row r="493" spans="1:56" ht="14.25" customHeight="1" thickBot="1">
      <c r="A493" s="3" t="s">
        <v>2520</v>
      </c>
      <c r="B493" s="3" t="s">
        <v>2390</v>
      </c>
      <c r="C493" s="3" t="s">
        <v>1733</v>
      </c>
      <c r="E493" s="3" t="s">
        <v>71</v>
      </c>
      <c r="F493" s="3">
        <f t="shared" si="2"/>
        <v>2</v>
      </c>
      <c r="G493" s="3" t="s">
        <v>72</v>
      </c>
      <c r="H493" s="3">
        <f t="shared" si="3"/>
        <v>2</v>
      </c>
      <c r="I493" s="3" t="s">
        <v>73</v>
      </c>
      <c r="J493" s="3" t="s">
        <v>74</v>
      </c>
      <c r="K493" s="3" t="s">
        <v>807</v>
      </c>
      <c r="M493" s="3" t="s">
        <v>97</v>
      </c>
      <c r="N493" s="3" t="s">
        <v>98</v>
      </c>
      <c r="O493" s="3" t="s">
        <v>78</v>
      </c>
      <c r="P493" s="3" t="s">
        <v>79</v>
      </c>
      <c r="Q493" s="3" t="s">
        <v>2521</v>
      </c>
      <c r="S493" s="18">
        <v>0</v>
      </c>
      <c r="T493" s="18">
        <v>5.77</v>
      </c>
      <c r="U493" s="18">
        <v>22.22</v>
      </c>
      <c r="V493" s="3" t="s">
        <v>355</v>
      </c>
      <c r="W493" s="3" t="s">
        <v>95</v>
      </c>
      <c r="AB493" s="3">
        <v>170</v>
      </c>
      <c r="AC493" s="3" t="s">
        <v>81</v>
      </c>
      <c r="AD493" s="6">
        <v>38.725180000000002</v>
      </c>
      <c r="AE493" s="6">
        <v>-105.607716</v>
      </c>
      <c r="AH493" s="3">
        <v>2017</v>
      </c>
      <c r="AI493" s="3">
        <v>6</v>
      </c>
      <c r="AJ493" s="8">
        <v>25</v>
      </c>
      <c r="AK493" s="3">
        <v>2017</v>
      </c>
      <c r="AL493" s="3">
        <v>6</v>
      </c>
      <c r="AM493" s="3">
        <v>29</v>
      </c>
      <c r="AN493" s="29">
        <v>0</v>
      </c>
      <c r="AU493" s="3">
        <v>1100000</v>
      </c>
      <c r="AV493" s="3">
        <v>1313319</v>
      </c>
      <c r="AW493" s="3">
        <v>1400000</v>
      </c>
      <c r="AX493" s="3">
        <v>1671497</v>
      </c>
      <c r="AY493" s="3">
        <v>83.757254551963101</v>
      </c>
      <c r="AZ493" s="3" t="s">
        <v>89</v>
      </c>
      <c r="BA493" s="3" t="s">
        <v>2522</v>
      </c>
      <c r="BC493" s="3" t="s">
        <v>2523</v>
      </c>
      <c r="BD493" s="8">
        <v>0</v>
      </c>
    </row>
    <row r="494" spans="1:56" ht="14.25" customHeight="1" thickBot="1">
      <c r="A494" s="3" t="s">
        <v>2524</v>
      </c>
      <c r="B494" s="3" t="s">
        <v>2390</v>
      </c>
      <c r="C494" s="3" t="s">
        <v>404</v>
      </c>
      <c r="E494" s="3" t="s">
        <v>71</v>
      </c>
      <c r="F494" s="3">
        <f t="shared" si="2"/>
        <v>2</v>
      </c>
      <c r="G494" s="3" t="s">
        <v>72</v>
      </c>
      <c r="H494" s="3">
        <f t="shared" si="3"/>
        <v>2</v>
      </c>
      <c r="I494" s="3" t="s">
        <v>73</v>
      </c>
      <c r="J494" s="3" t="s">
        <v>74</v>
      </c>
      <c r="K494" s="3" t="s">
        <v>75</v>
      </c>
      <c r="M494" s="3" t="s">
        <v>97</v>
      </c>
      <c r="N494" s="3" t="s">
        <v>98</v>
      </c>
      <c r="O494" s="3" t="s">
        <v>78</v>
      </c>
      <c r="P494" s="3" t="s">
        <v>79</v>
      </c>
      <c r="Q494" s="3" t="s">
        <v>2525</v>
      </c>
      <c r="S494" s="18">
        <v>0</v>
      </c>
      <c r="T494" s="18">
        <v>9.5399999999999991</v>
      </c>
      <c r="U494" s="18">
        <v>26.69</v>
      </c>
      <c r="V494" s="3" t="s">
        <v>355</v>
      </c>
      <c r="W494" s="3" t="s">
        <v>95</v>
      </c>
      <c r="AB494" s="3">
        <v>175</v>
      </c>
      <c r="AC494" s="3" t="s">
        <v>81</v>
      </c>
      <c r="AD494" s="6">
        <v>31.26389</v>
      </c>
      <c r="AE494" s="6">
        <v>-98.545612000000006</v>
      </c>
      <c r="AH494" s="3">
        <v>2017</v>
      </c>
      <c r="AI494" s="3">
        <v>3</v>
      </c>
      <c r="AJ494" s="8">
        <v>25</v>
      </c>
      <c r="AK494" s="3">
        <v>2017</v>
      </c>
      <c r="AL494" s="3">
        <v>3</v>
      </c>
      <c r="AM494" s="3">
        <v>28</v>
      </c>
      <c r="AN494" s="29">
        <v>1</v>
      </c>
      <c r="AU494" s="3">
        <v>2000000</v>
      </c>
      <c r="AV494" s="3">
        <v>2387853</v>
      </c>
      <c r="AW494" s="3">
        <v>2700000</v>
      </c>
      <c r="AX494" s="3">
        <v>3223601</v>
      </c>
      <c r="AY494" s="3">
        <v>83.757254551963101</v>
      </c>
      <c r="AZ494" s="3" t="s">
        <v>206</v>
      </c>
      <c r="BA494" s="3" t="s">
        <v>2526</v>
      </c>
      <c r="BB494" s="3" t="s">
        <v>2527</v>
      </c>
      <c r="BC494" s="3" t="s">
        <v>2528</v>
      </c>
      <c r="BD494" s="8">
        <v>0</v>
      </c>
    </row>
    <row r="495" spans="1:56" ht="14.25" customHeight="1" thickBot="1">
      <c r="A495" s="3" t="s">
        <v>2529</v>
      </c>
      <c r="B495" s="3" t="s">
        <v>2390</v>
      </c>
      <c r="C495" s="3" t="s">
        <v>2530</v>
      </c>
      <c r="E495" s="3" t="s">
        <v>71</v>
      </c>
      <c r="F495" s="3">
        <f t="shared" si="2"/>
        <v>2</v>
      </c>
      <c r="G495" s="3" t="s">
        <v>72</v>
      </c>
      <c r="H495" s="3">
        <f t="shared" si="3"/>
        <v>2</v>
      </c>
      <c r="I495" s="3" t="s">
        <v>73</v>
      </c>
      <c r="J495" s="3" t="s">
        <v>212</v>
      </c>
      <c r="L495" s="3" t="s">
        <v>2531</v>
      </c>
      <c r="M495" s="3" t="s">
        <v>97</v>
      </c>
      <c r="N495" s="3" t="s">
        <v>98</v>
      </c>
      <c r="O495" s="3" t="s">
        <v>78</v>
      </c>
      <c r="P495" s="3" t="s">
        <v>79</v>
      </c>
      <c r="Q495" s="3" t="s">
        <v>2532</v>
      </c>
      <c r="S495" s="18">
        <v>0</v>
      </c>
      <c r="T495" s="18">
        <v>21.58</v>
      </c>
      <c r="U495" s="18">
        <v>31.34</v>
      </c>
      <c r="V495" s="3" t="s">
        <v>95</v>
      </c>
      <c r="W495" s="3" t="s">
        <v>2533</v>
      </c>
      <c r="Z495" s="3" t="s">
        <v>264</v>
      </c>
      <c r="AB495" s="3">
        <v>215</v>
      </c>
      <c r="AC495" s="3" t="s">
        <v>81</v>
      </c>
      <c r="AD495" s="6">
        <v>31.26389</v>
      </c>
      <c r="AE495" s="6">
        <v>-98.545612000000006</v>
      </c>
      <c r="AG495" s="3" t="s">
        <v>2534</v>
      </c>
      <c r="AH495" s="3">
        <v>2017</v>
      </c>
      <c r="AI495" s="3">
        <v>8</v>
      </c>
      <c r="AJ495" s="8">
        <v>25</v>
      </c>
      <c r="AK495" s="3">
        <v>2017</v>
      </c>
      <c r="AL495" s="3">
        <v>8</v>
      </c>
      <c r="AM495" s="3">
        <v>29</v>
      </c>
      <c r="AN495" s="29">
        <v>88</v>
      </c>
      <c r="AO495" s="3">
        <v>24</v>
      </c>
      <c r="AP495" s="3">
        <v>555000</v>
      </c>
      <c r="AQ495" s="3">
        <v>27000</v>
      </c>
      <c r="AR495" s="3">
        <v>582024</v>
      </c>
      <c r="AU495" s="3">
        <v>30000000</v>
      </c>
      <c r="AV495" s="3">
        <v>35817793</v>
      </c>
      <c r="AW495" s="3">
        <v>95000000</v>
      </c>
      <c r="AX495" s="3">
        <v>113423011</v>
      </c>
      <c r="AY495" s="3">
        <v>83.757254551963101</v>
      </c>
      <c r="AZ495" s="3" t="s">
        <v>82</v>
      </c>
      <c r="BB495" s="3" t="s">
        <v>2535</v>
      </c>
      <c r="BC495" s="3" t="s">
        <v>2536</v>
      </c>
      <c r="BD495" s="8">
        <v>6</v>
      </c>
    </row>
    <row r="496" spans="1:56" ht="14.25" customHeight="1" thickBot="1">
      <c r="A496" s="3" t="s">
        <v>2537</v>
      </c>
      <c r="B496" s="3" t="s">
        <v>2390</v>
      </c>
      <c r="C496" s="3" t="s">
        <v>2538</v>
      </c>
      <c r="E496" s="3" t="s">
        <v>71</v>
      </c>
      <c r="F496" s="3">
        <f t="shared" si="2"/>
        <v>2</v>
      </c>
      <c r="G496" s="3" t="s">
        <v>72</v>
      </c>
      <c r="H496" s="3">
        <f t="shared" si="3"/>
        <v>2</v>
      </c>
      <c r="I496" s="3" t="s">
        <v>73</v>
      </c>
      <c r="J496" s="3" t="s">
        <v>74</v>
      </c>
      <c r="K496" s="3" t="s">
        <v>75</v>
      </c>
      <c r="M496" s="3" t="s">
        <v>97</v>
      </c>
      <c r="N496" s="3" t="s">
        <v>98</v>
      </c>
      <c r="O496" s="3" t="s">
        <v>78</v>
      </c>
      <c r="P496" s="3" t="s">
        <v>79</v>
      </c>
      <c r="Q496" s="3" t="s">
        <v>2539</v>
      </c>
      <c r="S496" s="18">
        <v>1.77</v>
      </c>
      <c r="T496" s="18">
        <v>-2.48</v>
      </c>
      <c r="U496" s="18">
        <v>15.43</v>
      </c>
      <c r="V496" s="3" t="s">
        <v>355</v>
      </c>
      <c r="W496" s="3" t="s">
        <v>2032</v>
      </c>
      <c r="AC496" s="3" t="s">
        <v>81</v>
      </c>
      <c r="AD496" s="6">
        <v>40.079659999999997</v>
      </c>
      <c r="AE496" s="6">
        <v>-89.433729</v>
      </c>
      <c r="AH496" s="3">
        <v>2017</v>
      </c>
      <c r="AI496" s="3">
        <v>2</v>
      </c>
      <c r="AJ496" s="8">
        <v>27</v>
      </c>
      <c r="AK496" s="3">
        <v>2017</v>
      </c>
      <c r="AL496" s="3">
        <v>3</v>
      </c>
      <c r="AM496" s="3">
        <v>2</v>
      </c>
      <c r="AN496" s="29">
        <v>4</v>
      </c>
      <c r="AO496" s="3">
        <v>12</v>
      </c>
      <c r="AP496" s="3">
        <v>600</v>
      </c>
      <c r="AR496" s="3">
        <v>612</v>
      </c>
      <c r="AU496" s="3">
        <v>1400000</v>
      </c>
      <c r="AV496" s="3">
        <v>1671497</v>
      </c>
      <c r="AW496" s="3">
        <v>1900000</v>
      </c>
      <c r="AX496" s="3">
        <v>2268460</v>
      </c>
      <c r="AY496" s="3">
        <v>83.757254551963101</v>
      </c>
      <c r="AZ496" s="3" t="s">
        <v>89</v>
      </c>
      <c r="BA496" s="3" t="s">
        <v>2540</v>
      </c>
      <c r="BC496" s="3" t="s">
        <v>2541</v>
      </c>
      <c r="BD496" s="8">
        <v>3</v>
      </c>
    </row>
    <row r="497" spans="1:56" ht="14.25" customHeight="1" thickBot="1">
      <c r="A497" s="3" t="s">
        <v>2542</v>
      </c>
      <c r="B497" s="3" t="s">
        <v>2390</v>
      </c>
      <c r="C497" s="3" t="s">
        <v>304</v>
      </c>
      <c r="E497" s="3" t="s">
        <v>71</v>
      </c>
      <c r="F497" s="3">
        <f t="shared" si="2"/>
        <v>2</v>
      </c>
      <c r="G497" s="3" t="s">
        <v>72</v>
      </c>
      <c r="H497" s="3">
        <f t="shared" si="3"/>
        <v>2</v>
      </c>
      <c r="I497" s="3" t="s">
        <v>73</v>
      </c>
      <c r="J497" s="3" t="s">
        <v>74</v>
      </c>
      <c r="K497" s="3" t="s">
        <v>355</v>
      </c>
      <c r="M497" s="3" t="s">
        <v>97</v>
      </c>
      <c r="N497" s="3" t="s">
        <v>98</v>
      </c>
      <c r="O497" s="3" t="s">
        <v>78</v>
      </c>
      <c r="P497" s="3" t="s">
        <v>79</v>
      </c>
      <c r="Q497" s="3" t="s">
        <v>2543</v>
      </c>
      <c r="S497" s="18">
        <v>1.67</v>
      </c>
      <c r="T497" s="18">
        <v>1.54</v>
      </c>
      <c r="U497" s="18">
        <v>11.08</v>
      </c>
      <c r="V497" s="3" t="s">
        <v>355</v>
      </c>
      <c r="AB497" s="3">
        <v>130</v>
      </c>
      <c r="AC497" s="3" t="s">
        <v>81</v>
      </c>
      <c r="AD497" s="6">
        <v>38.725180000000002</v>
      </c>
      <c r="AE497" s="6">
        <v>-105.607716</v>
      </c>
      <c r="AH497" s="3">
        <v>2017</v>
      </c>
      <c r="AI497" s="3">
        <v>5</v>
      </c>
      <c r="AJ497" s="8">
        <v>9</v>
      </c>
      <c r="AK497" s="3">
        <v>2017</v>
      </c>
      <c r="AL497" s="3">
        <v>5</v>
      </c>
      <c r="AM497" s="3">
        <v>11</v>
      </c>
      <c r="AN497" s="29">
        <v>0</v>
      </c>
      <c r="AU497" s="3">
        <v>2500000</v>
      </c>
      <c r="AV497" s="3">
        <v>2984816</v>
      </c>
      <c r="AW497" s="3">
        <v>3100000</v>
      </c>
      <c r="AX497" s="3">
        <v>3701172</v>
      </c>
      <c r="AY497" s="3">
        <v>83.757254551963101</v>
      </c>
      <c r="AZ497" s="3" t="s">
        <v>89</v>
      </c>
      <c r="BA497" s="3" t="s">
        <v>2544</v>
      </c>
      <c r="BC497" s="3" t="s">
        <v>2545</v>
      </c>
      <c r="BD497" s="8">
        <v>0</v>
      </c>
    </row>
    <row r="498" spans="1:56" ht="14.25" customHeight="1" thickBot="1">
      <c r="A498" s="3" t="s">
        <v>2546</v>
      </c>
      <c r="B498" s="3" t="s">
        <v>2390</v>
      </c>
      <c r="C498" s="3" t="s">
        <v>1405</v>
      </c>
      <c r="E498" s="3" t="s">
        <v>71</v>
      </c>
      <c r="F498" s="3">
        <f t="shared" si="2"/>
        <v>2</v>
      </c>
      <c r="G498" s="3" t="s">
        <v>72</v>
      </c>
      <c r="H498" s="3">
        <f t="shared" si="3"/>
        <v>2</v>
      </c>
      <c r="I498" s="3" t="s">
        <v>73</v>
      </c>
      <c r="J498" s="3" t="s">
        <v>74</v>
      </c>
      <c r="K498" s="3" t="s">
        <v>355</v>
      </c>
      <c r="M498" s="3" t="s">
        <v>97</v>
      </c>
      <c r="N498" s="3" t="s">
        <v>98</v>
      </c>
      <c r="O498" s="3" t="s">
        <v>78</v>
      </c>
      <c r="P498" s="3" t="s">
        <v>79</v>
      </c>
      <c r="Q498" s="3" t="s">
        <v>2547</v>
      </c>
      <c r="S498" s="18">
        <v>10.8</v>
      </c>
      <c r="T498" s="18">
        <v>10.94</v>
      </c>
      <c r="U498" s="18">
        <v>23.25</v>
      </c>
      <c r="V498" s="3" t="s">
        <v>355</v>
      </c>
      <c r="AB498" s="3">
        <v>130</v>
      </c>
      <c r="AC498" s="3" t="s">
        <v>81</v>
      </c>
      <c r="AD498" s="6">
        <v>38.760480000000001</v>
      </c>
      <c r="AE498" s="6">
        <v>-92.561786999999995</v>
      </c>
      <c r="AH498" s="3">
        <v>2017</v>
      </c>
      <c r="AI498" s="3">
        <v>3</v>
      </c>
      <c r="AJ498" s="8">
        <v>6</v>
      </c>
      <c r="AK498" s="3">
        <v>2017</v>
      </c>
      <c r="AL498" s="3">
        <v>3</v>
      </c>
      <c r="AM498" s="3">
        <v>9</v>
      </c>
      <c r="AN498" s="29">
        <v>2</v>
      </c>
      <c r="AO498" s="3">
        <v>15</v>
      </c>
      <c r="AP498" s="3">
        <v>600</v>
      </c>
      <c r="AR498" s="3">
        <v>615</v>
      </c>
      <c r="AU498" s="3">
        <v>2000000</v>
      </c>
      <c r="AV498" s="3">
        <v>2387853</v>
      </c>
      <c r="AW498" s="3">
        <v>2200000</v>
      </c>
      <c r="AX498" s="3">
        <v>2626638</v>
      </c>
      <c r="AY498" s="3">
        <v>83.757254551963101</v>
      </c>
      <c r="AZ498" s="3" t="s">
        <v>206</v>
      </c>
      <c r="BA498" s="3" t="s">
        <v>2548</v>
      </c>
      <c r="BB498" s="3" t="s">
        <v>2549</v>
      </c>
      <c r="BC498" s="3" t="s">
        <v>2550</v>
      </c>
      <c r="BD498" s="8">
        <v>3</v>
      </c>
    </row>
    <row r="499" spans="1:56" ht="14.25" customHeight="1" thickBot="1">
      <c r="A499" s="3" t="s">
        <v>2551</v>
      </c>
      <c r="B499" s="3" t="s">
        <v>2390</v>
      </c>
      <c r="C499" s="3" t="s">
        <v>1439</v>
      </c>
      <c r="E499" s="3" t="s">
        <v>71</v>
      </c>
      <c r="F499" s="3">
        <f t="shared" si="2"/>
        <v>2</v>
      </c>
      <c r="G499" s="3" t="s">
        <v>72</v>
      </c>
      <c r="H499" s="3">
        <f t="shared" si="3"/>
        <v>2</v>
      </c>
      <c r="I499" s="3" t="s">
        <v>73</v>
      </c>
      <c r="J499" s="3" t="s">
        <v>74</v>
      </c>
      <c r="K499" s="3" t="s">
        <v>807</v>
      </c>
      <c r="M499" s="3" t="s">
        <v>97</v>
      </c>
      <c r="N499" s="3" t="s">
        <v>98</v>
      </c>
      <c r="O499" s="3" t="s">
        <v>78</v>
      </c>
      <c r="P499" s="3" t="s">
        <v>79</v>
      </c>
      <c r="Q499" s="3" t="s">
        <v>2552</v>
      </c>
      <c r="S499" s="18">
        <v>0</v>
      </c>
      <c r="T499" s="18">
        <v>15.62</v>
      </c>
      <c r="U499" s="18">
        <v>28.9</v>
      </c>
      <c r="V499" s="3" t="s">
        <v>355</v>
      </c>
      <c r="AB499" s="3">
        <v>135</v>
      </c>
      <c r="AC499" s="3" t="s">
        <v>81</v>
      </c>
      <c r="AD499" s="6">
        <v>44.971609999999998</v>
      </c>
      <c r="AE499" s="6">
        <v>-93.210667000000001</v>
      </c>
      <c r="AH499" s="3">
        <v>2017</v>
      </c>
      <c r="AI499" s="3">
        <v>6</v>
      </c>
      <c r="AJ499" s="8">
        <v>9</v>
      </c>
      <c r="AK499" s="3">
        <v>2017</v>
      </c>
      <c r="AL499" s="3">
        <v>6</v>
      </c>
      <c r="AM499" s="3">
        <v>12</v>
      </c>
      <c r="AN499" s="29">
        <v>0</v>
      </c>
      <c r="AO499" s="3">
        <v>2</v>
      </c>
      <c r="AR499" s="3">
        <v>2</v>
      </c>
      <c r="AU499" s="3">
        <v>1500000</v>
      </c>
      <c r="AV499" s="3">
        <v>1790890</v>
      </c>
      <c r="AW499" s="3">
        <v>2000000</v>
      </c>
      <c r="AX499" s="3">
        <v>2387853</v>
      </c>
      <c r="AY499" s="3">
        <v>83.757254551963101</v>
      </c>
      <c r="AZ499" s="3" t="s">
        <v>206</v>
      </c>
      <c r="BA499" s="3" t="s">
        <v>2553</v>
      </c>
      <c r="BB499" s="3" t="s">
        <v>2554</v>
      </c>
      <c r="BC499" s="3" t="s">
        <v>2555</v>
      </c>
      <c r="BD499" s="8">
        <v>1</v>
      </c>
    </row>
    <row r="500" spans="1:56" ht="14.25" customHeight="1" thickBot="1">
      <c r="A500" s="3" t="s">
        <v>2556</v>
      </c>
      <c r="B500" s="3" t="s">
        <v>2390</v>
      </c>
      <c r="C500" s="3" t="s">
        <v>2557</v>
      </c>
      <c r="E500" s="3" t="s">
        <v>71</v>
      </c>
      <c r="F500" s="3">
        <f t="shared" si="2"/>
        <v>2</v>
      </c>
      <c r="G500" s="3" t="s">
        <v>72</v>
      </c>
      <c r="H500" s="3">
        <f t="shared" si="3"/>
        <v>2</v>
      </c>
      <c r="I500" s="3" t="s">
        <v>73</v>
      </c>
      <c r="J500" s="3" t="s">
        <v>74</v>
      </c>
      <c r="K500" s="3" t="s">
        <v>807</v>
      </c>
      <c r="M500" s="3" t="s">
        <v>97</v>
      </c>
      <c r="N500" s="3" t="s">
        <v>98</v>
      </c>
      <c r="O500" s="3" t="s">
        <v>78</v>
      </c>
      <c r="P500" s="3" t="s">
        <v>79</v>
      </c>
      <c r="Q500" s="3" t="s">
        <v>2558</v>
      </c>
      <c r="S500" s="18">
        <v>0</v>
      </c>
      <c r="T500" s="18">
        <v>9.1</v>
      </c>
      <c r="U500" s="18">
        <v>16.23</v>
      </c>
      <c r="V500" s="3" t="s">
        <v>355</v>
      </c>
      <c r="Z500" s="3" t="s">
        <v>264</v>
      </c>
      <c r="AC500" s="3" t="s">
        <v>81</v>
      </c>
      <c r="AD500" s="6">
        <v>38.760480000000001</v>
      </c>
      <c r="AE500" s="6">
        <v>-92.561786999999995</v>
      </c>
      <c r="AH500" s="3">
        <v>2017</v>
      </c>
      <c r="AI500" s="3">
        <v>11</v>
      </c>
      <c r="AJ500" s="8">
        <v>5</v>
      </c>
      <c r="AK500" s="3">
        <v>2017</v>
      </c>
      <c r="AL500" s="3">
        <v>11</v>
      </c>
      <c r="AM500" s="3">
        <v>6</v>
      </c>
      <c r="AN500" s="29">
        <v>0</v>
      </c>
      <c r="AO500" s="3">
        <v>8</v>
      </c>
      <c r="AR500" s="3">
        <v>8</v>
      </c>
      <c r="AU500" s="3">
        <v>200000</v>
      </c>
      <c r="AV500" s="3">
        <v>238785</v>
      </c>
      <c r="AW500" s="3">
        <v>260000</v>
      </c>
      <c r="AX500" s="3">
        <v>310421</v>
      </c>
      <c r="AY500" s="3">
        <v>83.757254551963101</v>
      </c>
      <c r="AZ500" s="3" t="s">
        <v>206</v>
      </c>
      <c r="BA500" s="3" t="s">
        <v>2559</v>
      </c>
      <c r="BB500" s="3" t="s">
        <v>2560</v>
      </c>
      <c r="BC500" s="3" t="s">
        <v>2561</v>
      </c>
      <c r="BD500" s="8">
        <v>1</v>
      </c>
    </row>
    <row r="501" spans="1:56" ht="14.25" customHeight="1" thickBot="1">
      <c r="A501" s="3" t="s">
        <v>2562</v>
      </c>
      <c r="B501" s="3" t="s">
        <v>2390</v>
      </c>
      <c r="C501" s="3" t="s">
        <v>2439</v>
      </c>
      <c r="D501" s="3" t="s">
        <v>2440</v>
      </c>
      <c r="E501" s="3" t="s">
        <v>71</v>
      </c>
      <c r="F501" s="3">
        <f t="shared" si="2"/>
        <v>2</v>
      </c>
      <c r="G501" s="3" t="s">
        <v>72</v>
      </c>
      <c r="H501" s="3">
        <f t="shared" si="3"/>
        <v>2</v>
      </c>
      <c r="I501" s="3" t="s">
        <v>73</v>
      </c>
      <c r="J501" s="3" t="s">
        <v>212</v>
      </c>
      <c r="L501" s="3" t="s">
        <v>2441</v>
      </c>
      <c r="M501" s="3" t="s">
        <v>97</v>
      </c>
      <c r="N501" s="3" t="s">
        <v>98</v>
      </c>
      <c r="O501" s="3" t="s">
        <v>78</v>
      </c>
      <c r="P501" s="3" t="s">
        <v>79</v>
      </c>
      <c r="Q501" s="3" t="s">
        <v>2563</v>
      </c>
      <c r="S501" s="18">
        <v>120.66</v>
      </c>
      <c r="T501" s="18">
        <v>23.97</v>
      </c>
      <c r="U501" s="18">
        <v>27.38</v>
      </c>
      <c r="V501" s="3" t="s">
        <v>95</v>
      </c>
      <c r="AB501" s="3">
        <v>300</v>
      </c>
      <c r="AC501" s="3" t="s">
        <v>81</v>
      </c>
      <c r="AD501" s="6">
        <v>24.815519999999999</v>
      </c>
      <c r="AE501" s="11">
        <v>-80.810783000000001</v>
      </c>
      <c r="AH501" s="3">
        <v>2017</v>
      </c>
      <c r="AI501" s="3">
        <v>9</v>
      </c>
      <c r="AJ501" s="8">
        <v>10</v>
      </c>
      <c r="AK501" s="3">
        <v>2017</v>
      </c>
      <c r="AL501" s="3">
        <v>9</v>
      </c>
      <c r="AM501" s="3">
        <v>28</v>
      </c>
      <c r="AN501" s="29">
        <v>97</v>
      </c>
      <c r="AQ501" s="3">
        <v>70000</v>
      </c>
      <c r="AR501" s="3">
        <v>70000</v>
      </c>
      <c r="AU501" s="3">
        <v>29000000</v>
      </c>
      <c r="AV501" s="3">
        <v>34623866</v>
      </c>
      <c r="AW501" s="3">
        <v>57000000</v>
      </c>
      <c r="AX501" s="3">
        <v>68053807</v>
      </c>
      <c r="AY501" s="3">
        <v>83.757254551963101</v>
      </c>
      <c r="AZ501" s="3" t="s">
        <v>82</v>
      </c>
      <c r="BB501" s="3" t="s">
        <v>2564</v>
      </c>
      <c r="BC501" s="3" t="s">
        <v>2565</v>
      </c>
      <c r="BD501" s="8">
        <v>5</v>
      </c>
    </row>
    <row r="502" spans="1:56" ht="14.25" customHeight="1" thickBot="1">
      <c r="A502" s="3" t="s">
        <v>2566</v>
      </c>
      <c r="B502" s="3" t="s">
        <v>2390</v>
      </c>
      <c r="C502" s="3" t="s">
        <v>2567</v>
      </c>
      <c r="E502" s="3" t="s">
        <v>71</v>
      </c>
      <c r="F502" s="3">
        <f t="shared" si="2"/>
        <v>2</v>
      </c>
      <c r="G502" s="3" t="s">
        <v>72</v>
      </c>
      <c r="H502" s="3">
        <f t="shared" si="3"/>
        <v>2</v>
      </c>
      <c r="I502" s="3" t="s">
        <v>73</v>
      </c>
      <c r="J502" s="3" t="s">
        <v>74</v>
      </c>
      <c r="K502" s="3" t="s">
        <v>127</v>
      </c>
      <c r="M502" s="3" t="s">
        <v>97</v>
      </c>
      <c r="N502" s="3" t="s">
        <v>98</v>
      </c>
      <c r="O502" s="3" t="s">
        <v>78</v>
      </c>
      <c r="P502" s="3" t="s">
        <v>79</v>
      </c>
      <c r="Q502" s="3" t="s">
        <v>2568</v>
      </c>
      <c r="S502" s="18">
        <v>10.45</v>
      </c>
      <c r="T502" s="18">
        <v>-0.83</v>
      </c>
      <c r="U502" s="18">
        <v>10.86</v>
      </c>
      <c r="AC502" s="3" t="s">
        <v>81</v>
      </c>
      <c r="AD502" s="6">
        <v>33.687440000000002</v>
      </c>
      <c r="AE502" s="6">
        <v>-80.436374000000001</v>
      </c>
      <c r="AH502" s="3">
        <v>2017</v>
      </c>
      <c r="AI502" s="3">
        <v>3</v>
      </c>
      <c r="AJ502" s="8">
        <v>13</v>
      </c>
      <c r="AK502" s="3">
        <v>2017</v>
      </c>
      <c r="AL502" s="3">
        <v>3</v>
      </c>
      <c r="AM502" s="3">
        <v>15</v>
      </c>
      <c r="AN502" s="29">
        <v>11</v>
      </c>
      <c r="AO502" s="3">
        <v>12</v>
      </c>
      <c r="AR502" s="3">
        <v>12</v>
      </c>
      <c r="AW502" s="3">
        <v>1000000</v>
      </c>
      <c r="AX502" s="3">
        <v>1193926</v>
      </c>
      <c r="AY502" s="3">
        <v>83.757254551963101</v>
      </c>
      <c r="AZ502" s="3" t="s">
        <v>89</v>
      </c>
      <c r="BA502" s="3" t="s">
        <v>2569</v>
      </c>
      <c r="BC502" s="3" t="s">
        <v>2570</v>
      </c>
      <c r="BD502" s="8">
        <v>2</v>
      </c>
    </row>
    <row r="503" spans="1:56" ht="14.25" customHeight="1" thickBot="1">
      <c r="A503" s="3" t="s">
        <v>2571</v>
      </c>
      <c r="B503" s="3" t="s">
        <v>2390</v>
      </c>
      <c r="C503" s="3" t="s">
        <v>2572</v>
      </c>
      <c r="E503" s="3" t="s">
        <v>71</v>
      </c>
      <c r="F503" s="3">
        <f t="shared" si="2"/>
        <v>2</v>
      </c>
      <c r="G503" s="3" t="s">
        <v>72</v>
      </c>
      <c r="H503" s="3">
        <f t="shared" si="3"/>
        <v>2</v>
      </c>
      <c r="I503" s="3" t="s">
        <v>73</v>
      </c>
      <c r="J503" s="3" t="s">
        <v>74</v>
      </c>
      <c r="K503" s="3" t="s">
        <v>169</v>
      </c>
      <c r="M503" s="3" t="s">
        <v>97</v>
      </c>
      <c r="N503" s="3" t="s">
        <v>98</v>
      </c>
      <c r="O503" s="3" t="s">
        <v>78</v>
      </c>
      <c r="P503" s="3" t="s">
        <v>79</v>
      </c>
      <c r="Q503" s="3" t="s">
        <v>2573</v>
      </c>
      <c r="S503" s="18">
        <v>0</v>
      </c>
      <c r="T503" s="18">
        <v>12.21</v>
      </c>
      <c r="U503" s="18">
        <v>24.18</v>
      </c>
      <c r="Z503" s="3" t="s">
        <v>264</v>
      </c>
      <c r="AC503" s="3" t="s">
        <v>81</v>
      </c>
      <c r="AD503" s="6">
        <v>31.136900000000001</v>
      </c>
      <c r="AE503" s="6">
        <v>-83.441923000000003</v>
      </c>
      <c r="AH503" s="3">
        <v>2017</v>
      </c>
      <c r="AI503" s="3">
        <v>1</v>
      </c>
      <c r="AJ503" s="8">
        <v>18</v>
      </c>
      <c r="AK503" s="3">
        <v>2017</v>
      </c>
      <c r="AL503" s="3">
        <v>1</v>
      </c>
      <c r="AM503" s="3">
        <v>23</v>
      </c>
      <c r="AN503" s="29">
        <v>24</v>
      </c>
      <c r="AO503" s="3">
        <v>200</v>
      </c>
      <c r="AR503" s="3">
        <v>200</v>
      </c>
      <c r="AU503" s="3">
        <v>800000</v>
      </c>
      <c r="AV503" s="3">
        <v>955141</v>
      </c>
      <c r="AW503" s="3">
        <v>1100000</v>
      </c>
      <c r="AX503" s="3">
        <v>1313319</v>
      </c>
      <c r="AY503" s="3">
        <v>83.757254551963101</v>
      </c>
      <c r="AZ503" s="3" t="s">
        <v>89</v>
      </c>
      <c r="BA503" s="3" t="s">
        <v>2574</v>
      </c>
      <c r="BC503" s="3" t="s">
        <v>2575</v>
      </c>
      <c r="BD503" s="8">
        <v>3</v>
      </c>
    </row>
    <row r="504" spans="1:56" ht="14.25" customHeight="1" thickBot="1">
      <c r="A504" s="3" t="s">
        <v>2576</v>
      </c>
      <c r="B504" s="3" t="s">
        <v>2390</v>
      </c>
      <c r="C504" s="3" t="s">
        <v>2577</v>
      </c>
      <c r="E504" s="3" t="s">
        <v>71</v>
      </c>
      <c r="F504" s="3">
        <f t="shared" si="2"/>
        <v>1</v>
      </c>
      <c r="G504" s="3" t="s">
        <v>94</v>
      </c>
      <c r="H504" s="3">
        <f t="shared" si="3"/>
        <v>1</v>
      </c>
      <c r="I504" s="3" t="s">
        <v>95</v>
      </c>
      <c r="J504" s="3" t="s">
        <v>185</v>
      </c>
      <c r="M504" s="3" t="s">
        <v>97</v>
      </c>
      <c r="N504" s="3" t="s">
        <v>98</v>
      </c>
      <c r="O504" s="3" t="s">
        <v>78</v>
      </c>
      <c r="P504" s="3" t="s">
        <v>79</v>
      </c>
      <c r="Q504" s="3" t="s">
        <v>2578</v>
      </c>
      <c r="R504" s="3" t="s">
        <v>2579</v>
      </c>
      <c r="S504" s="18">
        <v>13.29</v>
      </c>
      <c r="T504" s="18">
        <v>15.77</v>
      </c>
      <c r="U504" s="18">
        <v>30.99</v>
      </c>
      <c r="AC504" s="3" t="s">
        <v>102</v>
      </c>
      <c r="AD504" s="8">
        <v>34.348999999999997</v>
      </c>
      <c r="AE504" s="8">
        <v>-111.264</v>
      </c>
      <c r="AG504" s="3" t="s">
        <v>2580</v>
      </c>
      <c r="AH504" s="3">
        <v>2017</v>
      </c>
      <c r="AI504" s="3">
        <v>7</v>
      </c>
      <c r="AJ504" s="8">
        <v>15</v>
      </c>
      <c r="AK504" s="3">
        <v>2017</v>
      </c>
      <c r="AL504" s="3">
        <v>7</v>
      </c>
      <c r="AM504" s="3">
        <v>15</v>
      </c>
      <c r="AN504" s="29">
        <v>10</v>
      </c>
      <c r="AY504" s="3">
        <v>83.757254551963101</v>
      </c>
      <c r="AZ504" s="3" t="s">
        <v>82</v>
      </c>
      <c r="BB504" s="3" t="s">
        <v>2581</v>
      </c>
      <c r="BC504" s="3" t="s">
        <v>2582</v>
      </c>
      <c r="BD504" s="8">
        <v>0</v>
      </c>
    </row>
    <row r="505" spans="1:56" ht="14.25" customHeight="1" thickBot="1">
      <c r="A505" s="3" t="s">
        <v>2583</v>
      </c>
      <c r="B505" s="3" t="s">
        <v>2390</v>
      </c>
      <c r="C505" s="3" t="s">
        <v>2584</v>
      </c>
      <c r="E505" s="3" t="s">
        <v>71</v>
      </c>
      <c r="F505" s="3">
        <f t="shared" si="2"/>
        <v>1</v>
      </c>
      <c r="G505" s="3" t="s">
        <v>94</v>
      </c>
      <c r="H505" s="3">
        <f t="shared" si="3"/>
        <v>1</v>
      </c>
      <c r="I505" s="3" t="s">
        <v>95</v>
      </c>
      <c r="J505" s="3" t="s">
        <v>96</v>
      </c>
      <c r="M505" s="3" t="s">
        <v>97</v>
      </c>
      <c r="N505" s="3" t="s">
        <v>98</v>
      </c>
      <c r="O505" s="3" t="s">
        <v>78</v>
      </c>
      <c r="P505" s="3" t="s">
        <v>79</v>
      </c>
      <c r="Q505" s="3" t="s">
        <v>2585</v>
      </c>
      <c r="R505" s="3" t="s">
        <v>200</v>
      </c>
      <c r="S505" s="18">
        <v>0</v>
      </c>
      <c r="T505" s="18">
        <v>2.74</v>
      </c>
      <c r="U505" s="18">
        <v>15.65</v>
      </c>
      <c r="AC505" s="3" t="s">
        <v>102</v>
      </c>
      <c r="AD505" s="6">
        <v>34.348999999999997</v>
      </c>
      <c r="AE505" s="6">
        <v>-111.264</v>
      </c>
      <c r="AH505" s="3">
        <v>2017</v>
      </c>
      <c r="AI505" s="3">
        <v>2</v>
      </c>
      <c r="AJ505" s="8">
        <v>22</v>
      </c>
      <c r="AK505" s="3">
        <v>2017</v>
      </c>
      <c r="AL505" s="3">
        <v>2</v>
      </c>
      <c r="AM505" s="3">
        <v>22</v>
      </c>
      <c r="AN505" s="29">
        <v>0</v>
      </c>
      <c r="AP505" s="3">
        <v>300</v>
      </c>
      <c r="AR505" s="3">
        <v>300</v>
      </c>
      <c r="AY505" s="3">
        <v>83.757254551963101</v>
      </c>
      <c r="AZ505" s="3" t="s">
        <v>82</v>
      </c>
      <c r="BB505" s="3" t="s">
        <v>2586</v>
      </c>
      <c r="BC505" s="3" t="s">
        <v>2587</v>
      </c>
      <c r="BD505" s="8">
        <v>3</v>
      </c>
    </row>
    <row r="506" spans="1:56" ht="14.25" customHeight="1" thickBot="1">
      <c r="A506" s="3" t="s">
        <v>2588</v>
      </c>
      <c r="B506" s="3" t="s">
        <v>2390</v>
      </c>
      <c r="C506" s="3" t="s">
        <v>949</v>
      </c>
      <c r="E506" s="3" t="s">
        <v>71</v>
      </c>
      <c r="F506" s="3">
        <f t="shared" si="2"/>
        <v>2</v>
      </c>
      <c r="G506" s="3" t="s">
        <v>72</v>
      </c>
      <c r="H506" s="3">
        <f t="shared" si="3"/>
        <v>2</v>
      </c>
      <c r="I506" s="3" t="s">
        <v>73</v>
      </c>
      <c r="J506" s="3" t="s">
        <v>212</v>
      </c>
      <c r="L506" s="3" t="s">
        <v>2433</v>
      </c>
      <c r="M506" s="3" t="s">
        <v>97</v>
      </c>
      <c r="N506" s="3" t="s">
        <v>98</v>
      </c>
      <c r="O506" s="3" t="s">
        <v>78</v>
      </c>
      <c r="P506" s="3" t="s">
        <v>79</v>
      </c>
      <c r="Q506" s="3" t="s">
        <v>2589</v>
      </c>
      <c r="S506" s="18">
        <v>0</v>
      </c>
      <c r="T506" s="18">
        <v>17.05</v>
      </c>
      <c r="U506" s="18">
        <v>31.72</v>
      </c>
      <c r="AC506" s="3" t="s">
        <v>81</v>
      </c>
      <c r="AD506" s="6">
        <v>41.202019999999997</v>
      </c>
      <c r="AE506" s="6">
        <v>-77.264415</v>
      </c>
      <c r="AH506" s="3">
        <v>2017</v>
      </c>
      <c r="AI506" s="3">
        <v>9</v>
      </c>
      <c r="AJ506" s="8">
        <v>26</v>
      </c>
      <c r="AK506" s="3">
        <v>2017</v>
      </c>
      <c r="AL506" s="3">
        <v>9</v>
      </c>
      <c r="AM506" s="3">
        <v>27</v>
      </c>
      <c r="AN506" s="29">
        <v>4</v>
      </c>
      <c r="AY506" s="3">
        <v>83.757254551963101</v>
      </c>
      <c r="AZ506" s="3" t="s">
        <v>82</v>
      </c>
      <c r="BB506" s="3" t="s">
        <v>2590</v>
      </c>
      <c r="BC506" s="3" t="s">
        <v>2591</v>
      </c>
      <c r="BD506" s="8">
        <v>0</v>
      </c>
    </row>
    <row r="507" spans="1:56" ht="14.25" customHeight="1" thickBot="1">
      <c r="A507" s="3" t="s">
        <v>2592</v>
      </c>
      <c r="B507" s="3" t="s">
        <v>2390</v>
      </c>
      <c r="C507" s="3" t="s">
        <v>1857</v>
      </c>
      <c r="D507" s="3" t="s">
        <v>2593</v>
      </c>
      <c r="E507" s="3" t="s">
        <v>71</v>
      </c>
      <c r="F507" s="3">
        <f t="shared" si="2"/>
        <v>2</v>
      </c>
      <c r="G507" s="3" t="s">
        <v>72</v>
      </c>
      <c r="H507" s="3">
        <f t="shared" si="3"/>
        <v>2</v>
      </c>
      <c r="I507" s="3" t="s">
        <v>73</v>
      </c>
      <c r="J507" s="3" t="s">
        <v>212</v>
      </c>
      <c r="L507" s="3" t="s">
        <v>2594</v>
      </c>
      <c r="M507" s="3" t="s">
        <v>97</v>
      </c>
      <c r="N507" s="3" t="s">
        <v>98</v>
      </c>
      <c r="O507" s="3" t="s">
        <v>78</v>
      </c>
      <c r="P507" s="3" t="s">
        <v>79</v>
      </c>
      <c r="Q507" s="3" t="s">
        <v>2595</v>
      </c>
      <c r="S507" s="18">
        <v>8.58</v>
      </c>
      <c r="T507" s="18">
        <v>23.1</v>
      </c>
      <c r="U507" s="18">
        <v>30.57</v>
      </c>
      <c r="AB507" s="3">
        <v>140</v>
      </c>
      <c r="AC507" s="3" t="s">
        <v>81</v>
      </c>
      <c r="AD507" s="6">
        <v>30.006039999999999</v>
      </c>
      <c r="AE507" s="6">
        <v>-85.343252000000007</v>
      </c>
      <c r="AH507" s="3">
        <v>2017</v>
      </c>
      <c r="AI507" s="3">
        <v>10</v>
      </c>
      <c r="AJ507" s="8">
        <v>7</v>
      </c>
      <c r="AK507" s="3">
        <v>2017</v>
      </c>
      <c r="AL507" s="3">
        <v>10</v>
      </c>
      <c r="AM507" s="3">
        <v>8</v>
      </c>
      <c r="AN507" s="29">
        <v>0</v>
      </c>
      <c r="AP507" s="3">
        <v>60</v>
      </c>
      <c r="AR507" s="3">
        <v>60</v>
      </c>
      <c r="AW507" s="3">
        <v>250000</v>
      </c>
      <c r="AX507" s="3">
        <v>298482</v>
      </c>
      <c r="AY507" s="3">
        <v>83.757254551963101</v>
      </c>
      <c r="AZ507" s="3" t="s">
        <v>206</v>
      </c>
      <c r="BA507" s="3" t="s">
        <v>2596</v>
      </c>
      <c r="BB507" s="3" t="s">
        <v>2597</v>
      </c>
      <c r="BC507" s="3" t="s">
        <v>2598</v>
      </c>
      <c r="BD507" s="8">
        <v>2</v>
      </c>
    </row>
    <row r="508" spans="1:56" ht="14.25" customHeight="1" thickBot="1">
      <c r="A508" s="3" t="s">
        <v>2599</v>
      </c>
      <c r="B508" s="3" t="s">
        <v>2390</v>
      </c>
      <c r="C508" s="3" t="s">
        <v>2600</v>
      </c>
      <c r="E508" s="3" t="s">
        <v>71</v>
      </c>
      <c r="F508" s="3">
        <f t="shared" si="2"/>
        <v>3</v>
      </c>
      <c r="G508" s="3" t="s">
        <v>119</v>
      </c>
      <c r="H508" s="3">
        <f t="shared" si="3"/>
        <v>3</v>
      </c>
      <c r="I508" s="3" t="s">
        <v>122</v>
      </c>
      <c r="J508" s="3" t="s">
        <v>227</v>
      </c>
      <c r="L508" s="3" t="s">
        <v>2601</v>
      </c>
      <c r="M508" s="3" t="s">
        <v>97</v>
      </c>
      <c r="N508" s="3" t="s">
        <v>98</v>
      </c>
      <c r="O508" s="3" t="s">
        <v>78</v>
      </c>
      <c r="P508" s="3" t="s">
        <v>79</v>
      </c>
      <c r="Q508" s="3" t="s">
        <v>2602</v>
      </c>
      <c r="R508" s="3" t="s">
        <v>2393</v>
      </c>
      <c r="S508" s="18">
        <v>0</v>
      </c>
      <c r="T508" s="16">
        <v>18.25</v>
      </c>
      <c r="U508" s="16">
        <v>40.74</v>
      </c>
      <c r="Z508" s="3" t="s">
        <v>264</v>
      </c>
      <c r="AB508" s="3">
        <v>190</v>
      </c>
      <c r="AC508" s="3" t="s">
        <v>102</v>
      </c>
      <c r="AD508" s="6">
        <v>39.492440000000002</v>
      </c>
      <c r="AE508" s="6">
        <v>-121.51985500000001</v>
      </c>
      <c r="AH508" s="3">
        <v>2017</v>
      </c>
      <c r="AI508" s="3">
        <v>7</v>
      </c>
      <c r="AJ508" s="8">
        <v>6</v>
      </c>
      <c r="AK508" s="3">
        <v>2017</v>
      </c>
      <c r="AL508" s="3">
        <v>7</v>
      </c>
      <c r="AM508" s="3">
        <v>10</v>
      </c>
      <c r="AN508" s="29">
        <v>0</v>
      </c>
      <c r="AP508" s="3">
        <v>9</v>
      </c>
      <c r="AQ508" s="3">
        <v>147</v>
      </c>
      <c r="AR508" s="3">
        <v>156</v>
      </c>
      <c r="AY508" s="3">
        <v>83.757254551963101</v>
      </c>
      <c r="AZ508" s="3" t="s">
        <v>82</v>
      </c>
      <c r="BB508" s="3" t="s">
        <v>2603</v>
      </c>
      <c r="BC508" s="3" t="s">
        <v>2604</v>
      </c>
      <c r="BD508" s="8">
        <v>3</v>
      </c>
    </row>
    <row r="509" spans="1:56" ht="14.25" customHeight="1" thickBot="1">
      <c r="A509" s="3" t="s">
        <v>2605</v>
      </c>
      <c r="B509" s="3" t="s">
        <v>2390</v>
      </c>
      <c r="C509" s="3" t="s">
        <v>2606</v>
      </c>
      <c r="E509" s="3" t="s">
        <v>71</v>
      </c>
      <c r="F509" s="3">
        <f t="shared" si="2"/>
        <v>3</v>
      </c>
      <c r="G509" s="3" t="s">
        <v>119</v>
      </c>
      <c r="H509" s="3">
        <f t="shared" si="3"/>
        <v>3</v>
      </c>
      <c r="I509" s="3" t="s">
        <v>122</v>
      </c>
      <c r="J509" s="3" t="s">
        <v>600</v>
      </c>
      <c r="L509" s="3" t="s">
        <v>2607</v>
      </c>
      <c r="M509" s="3" t="s">
        <v>97</v>
      </c>
      <c r="N509" s="3" t="s">
        <v>98</v>
      </c>
      <c r="O509" s="3" t="s">
        <v>78</v>
      </c>
      <c r="P509" s="3" t="s">
        <v>79</v>
      </c>
      <c r="Q509" s="3" t="s">
        <v>2608</v>
      </c>
      <c r="S509" s="18">
        <v>0</v>
      </c>
      <c r="T509" s="18">
        <v>10.62</v>
      </c>
      <c r="U509" s="18">
        <v>28.49</v>
      </c>
      <c r="AC509" s="3" t="s">
        <v>102</v>
      </c>
      <c r="AD509" s="6">
        <v>38.297139999999999</v>
      </c>
      <c r="AE509" s="6">
        <v>-122.285529</v>
      </c>
      <c r="AH509" s="3">
        <v>2017</v>
      </c>
      <c r="AI509" s="3">
        <v>6</v>
      </c>
      <c r="AJ509" s="8">
        <v>1</v>
      </c>
      <c r="AK509" s="3">
        <v>2017</v>
      </c>
      <c r="AL509" s="3">
        <v>12</v>
      </c>
      <c r="AM509" s="3">
        <v>31</v>
      </c>
      <c r="AN509" s="29">
        <v>43</v>
      </c>
      <c r="AO509" s="3">
        <v>185</v>
      </c>
      <c r="AQ509" s="3">
        <v>9000</v>
      </c>
      <c r="AR509" s="3">
        <v>9185</v>
      </c>
      <c r="AU509" s="3">
        <v>9600000</v>
      </c>
      <c r="AV509" s="3">
        <v>11461694</v>
      </c>
      <c r="AW509" s="3">
        <v>13000000</v>
      </c>
      <c r="AX509" s="3">
        <v>15521044</v>
      </c>
      <c r="AY509" s="3">
        <v>83.757254551963101</v>
      </c>
      <c r="AZ509" s="3" t="s">
        <v>82</v>
      </c>
      <c r="BB509" s="3" t="s">
        <v>2609</v>
      </c>
      <c r="BC509" s="3" t="s">
        <v>2610</v>
      </c>
      <c r="BD509" s="8">
        <v>4</v>
      </c>
    </row>
    <row r="510" spans="1:56" ht="14.25" customHeight="1" thickBot="1">
      <c r="A510" s="3" t="s">
        <v>2611</v>
      </c>
      <c r="B510" s="3" t="s">
        <v>2390</v>
      </c>
      <c r="C510" s="3" t="s">
        <v>2612</v>
      </c>
      <c r="E510" s="3" t="s">
        <v>71</v>
      </c>
      <c r="F510" s="3">
        <f t="shared" si="2"/>
        <v>3</v>
      </c>
      <c r="G510" s="3" t="s">
        <v>119</v>
      </c>
      <c r="H510" s="3">
        <f t="shared" si="3"/>
        <v>7</v>
      </c>
      <c r="I510" s="3" t="s">
        <v>120</v>
      </c>
      <c r="J510" s="3" t="s">
        <v>120</v>
      </c>
      <c r="M510" s="3" t="s">
        <v>97</v>
      </c>
      <c r="N510" s="3" t="s">
        <v>98</v>
      </c>
      <c r="O510" s="3" t="s">
        <v>78</v>
      </c>
      <c r="P510" s="3" t="s">
        <v>79</v>
      </c>
      <c r="Q510" s="3" t="s">
        <v>2613</v>
      </c>
      <c r="S510" s="18">
        <v>8.49</v>
      </c>
      <c r="T510" s="18">
        <v>-14.18</v>
      </c>
      <c r="U510" s="18">
        <v>-0.47</v>
      </c>
      <c r="AC510" s="3" t="s">
        <v>102</v>
      </c>
      <c r="AD510" s="10">
        <v>46.836219999999997</v>
      </c>
      <c r="AE510" s="11">
        <v>-109.55747</v>
      </c>
      <c r="AH510" s="3">
        <v>2017</v>
      </c>
      <c r="AI510" s="3">
        <v>3</v>
      </c>
      <c r="AJ510" s="8">
        <v>1</v>
      </c>
      <c r="AK510" s="3">
        <v>2017</v>
      </c>
      <c r="AL510" s="3">
        <v>12</v>
      </c>
      <c r="AM510" s="3">
        <v>31</v>
      </c>
      <c r="AN510" s="29">
        <v>0</v>
      </c>
      <c r="AU510" s="3">
        <v>1900000</v>
      </c>
      <c r="AV510" s="3">
        <v>2268460</v>
      </c>
      <c r="AW510" s="3">
        <v>2500000</v>
      </c>
      <c r="AX510" s="3">
        <v>2984816</v>
      </c>
      <c r="AY510" s="3">
        <v>83.757254551963101</v>
      </c>
      <c r="AZ510" s="3" t="s">
        <v>89</v>
      </c>
      <c r="BA510" s="3" t="s">
        <v>2614</v>
      </c>
      <c r="BC510" s="3" t="s">
        <v>2615</v>
      </c>
      <c r="BD510" s="8">
        <v>0</v>
      </c>
    </row>
    <row r="511" spans="1:56" ht="14.25" customHeight="1" thickBot="1">
      <c r="A511" s="3" t="s">
        <v>2616</v>
      </c>
      <c r="B511" s="3" t="s">
        <v>2390</v>
      </c>
      <c r="C511" s="3" t="s">
        <v>663</v>
      </c>
      <c r="E511" s="3" t="s">
        <v>71</v>
      </c>
      <c r="F511" s="3">
        <f t="shared" si="2"/>
        <v>3</v>
      </c>
      <c r="G511" s="3" t="s">
        <v>119</v>
      </c>
      <c r="H511" s="3">
        <f t="shared" si="3"/>
        <v>3</v>
      </c>
      <c r="I511" s="3" t="s">
        <v>122</v>
      </c>
      <c r="L511" s="3" t="s">
        <v>2617</v>
      </c>
      <c r="M511" s="3" t="s">
        <v>97</v>
      </c>
      <c r="N511" s="3" t="s">
        <v>98</v>
      </c>
      <c r="O511" s="3" t="s">
        <v>78</v>
      </c>
      <c r="P511" s="3" t="s">
        <v>79</v>
      </c>
      <c r="Q511" s="3" t="s">
        <v>2618</v>
      </c>
      <c r="R511" s="3" t="s">
        <v>2619</v>
      </c>
      <c r="S511" s="18">
        <v>0</v>
      </c>
      <c r="T511" s="18">
        <v>1.84</v>
      </c>
      <c r="U511" s="18">
        <v>16.73</v>
      </c>
      <c r="Z511" s="3" t="s">
        <v>264</v>
      </c>
      <c r="AB511" s="3">
        <v>1102</v>
      </c>
      <c r="AC511" s="3" t="s">
        <v>102</v>
      </c>
      <c r="AD511" s="6">
        <v>34.445830000000001</v>
      </c>
      <c r="AE511" s="6">
        <v>-119.07793599999999</v>
      </c>
      <c r="AH511" s="3">
        <v>2017</v>
      </c>
      <c r="AI511" s="3">
        <v>12</v>
      </c>
      <c r="AJ511" s="8">
        <v>4</v>
      </c>
      <c r="AK511" s="3">
        <v>2017</v>
      </c>
      <c r="AL511" s="3">
        <v>12</v>
      </c>
      <c r="AM511" s="3">
        <v>31</v>
      </c>
      <c r="AN511" s="29">
        <v>2</v>
      </c>
      <c r="AO511" s="3">
        <v>2</v>
      </c>
      <c r="AQ511" s="3">
        <v>2961</v>
      </c>
      <c r="AR511" s="3">
        <v>2963</v>
      </c>
      <c r="AU511" s="3">
        <v>1700000</v>
      </c>
      <c r="AV511" s="3">
        <v>2029675</v>
      </c>
      <c r="AW511" s="3">
        <v>2200000</v>
      </c>
      <c r="AX511" s="3">
        <v>2626638</v>
      </c>
      <c r="AY511" s="3">
        <v>83.757254551963101</v>
      </c>
      <c r="AZ511" s="3" t="s">
        <v>82</v>
      </c>
      <c r="BB511" s="3" t="s">
        <v>2620</v>
      </c>
      <c r="BC511" s="3" t="s">
        <v>2621</v>
      </c>
      <c r="BD511" s="8">
        <v>4</v>
      </c>
    </row>
    <row r="512" spans="1:56" ht="14.25" customHeight="1" thickBot="1">
      <c r="A512" s="3" t="s">
        <v>2622</v>
      </c>
      <c r="B512" s="3" t="s">
        <v>2408</v>
      </c>
      <c r="C512" s="3" t="s">
        <v>2623</v>
      </c>
      <c r="E512" s="3" t="s">
        <v>71</v>
      </c>
      <c r="F512" s="3">
        <f t="shared" si="2"/>
        <v>2</v>
      </c>
      <c r="G512" s="3" t="s">
        <v>72</v>
      </c>
      <c r="H512" s="3">
        <f t="shared" si="3"/>
        <v>2</v>
      </c>
      <c r="I512" s="3" t="s">
        <v>73</v>
      </c>
      <c r="J512" s="3" t="s">
        <v>74</v>
      </c>
      <c r="K512" s="3" t="s">
        <v>127</v>
      </c>
      <c r="M512" s="3" t="s">
        <v>97</v>
      </c>
      <c r="N512" s="3" t="s">
        <v>98</v>
      </c>
      <c r="O512" s="3" t="s">
        <v>78</v>
      </c>
      <c r="P512" s="3" t="s">
        <v>79</v>
      </c>
      <c r="Q512" s="3" t="s">
        <v>2624</v>
      </c>
      <c r="S512" s="18">
        <v>6.16</v>
      </c>
      <c r="T512" s="18">
        <v>-0.77</v>
      </c>
      <c r="U512" s="18">
        <v>14.57</v>
      </c>
      <c r="V512" s="3" t="s">
        <v>1537</v>
      </c>
      <c r="W512" s="3" t="s">
        <v>95</v>
      </c>
      <c r="Z512" s="3" t="s">
        <v>264</v>
      </c>
      <c r="AB512" s="3">
        <v>110</v>
      </c>
      <c r="AC512" s="3" t="s">
        <v>81</v>
      </c>
      <c r="AD512" s="6">
        <v>42.378880000000002</v>
      </c>
      <c r="AE512" s="6">
        <v>-72.032365999999996</v>
      </c>
      <c r="AH512" s="3">
        <v>2018</v>
      </c>
      <c r="AI512" s="3">
        <v>3</v>
      </c>
      <c r="AJ512" s="8">
        <v>1</v>
      </c>
      <c r="AK512" s="3">
        <v>2018</v>
      </c>
      <c r="AL512" s="3">
        <v>3</v>
      </c>
      <c r="AM512" s="3">
        <v>3</v>
      </c>
      <c r="AN512" s="29">
        <v>9</v>
      </c>
      <c r="AU512" s="3">
        <v>1400000</v>
      </c>
      <c r="AV512" s="3">
        <v>1631644</v>
      </c>
      <c r="AW512" s="3">
        <v>2300000</v>
      </c>
      <c r="AX512" s="3">
        <v>2680558</v>
      </c>
      <c r="AY512" s="3">
        <v>85.803026057265399</v>
      </c>
      <c r="AZ512" s="3" t="s">
        <v>89</v>
      </c>
      <c r="BA512" s="3" t="s">
        <v>2625</v>
      </c>
      <c r="BC512" s="3" t="s">
        <v>2626</v>
      </c>
      <c r="BD512" s="8">
        <v>0</v>
      </c>
    </row>
    <row r="513" spans="1:56" ht="14.25" customHeight="1" thickBot="1">
      <c r="A513" s="3" t="s">
        <v>2627</v>
      </c>
      <c r="B513" s="3" t="s">
        <v>2408</v>
      </c>
      <c r="C513" s="3" t="s">
        <v>2628</v>
      </c>
      <c r="E513" s="3" t="s">
        <v>71</v>
      </c>
      <c r="F513" s="3">
        <f t="shared" si="2"/>
        <v>1</v>
      </c>
      <c r="G513" s="3" t="s">
        <v>94</v>
      </c>
      <c r="H513" s="3">
        <f t="shared" si="3"/>
        <v>1</v>
      </c>
      <c r="I513" s="3" t="s">
        <v>95</v>
      </c>
      <c r="M513" s="3" t="s">
        <v>97</v>
      </c>
      <c r="N513" s="3" t="s">
        <v>98</v>
      </c>
      <c r="O513" s="3" t="s">
        <v>78</v>
      </c>
      <c r="P513" s="3" t="s">
        <v>79</v>
      </c>
      <c r="Q513" s="3" t="s">
        <v>2629</v>
      </c>
      <c r="R513" s="3" t="s">
        <v>1827</v>
      </c>
      <c r="S513" s="18">
        <v>0</v>
      </c>
      <c r="T513" s="18">
        <v>6.04</v>
      </c>
      <c r="U513" s="18">
        <v>15.3</v>
      </c>
      <c r="V513" s="3" t="s">
        <v>101</v>
      </c>
      <c r="Z513" s="3" t="s">
        <v>264</v>
      </c>
      <c r="AC513" s="3" t="s">
        <v>102</v>
      </c>
      <c r="AD513" s="6">
        <v>19.593800000000002</v>
      </c>
      <c r="AE513" s="6">
        <v>-155.42837</v>
      </c>
      <c r="AH513" s="3">
        <v>2018</v>
      </c>
      <c r="AI513" s="3">
        <v>4</v>
      </c>
      <c r="AJ513" s="8">
        <v>14</v>
      </c>
      <c r="AK513" s="3">
        <v>2018</v>
      </c>
      <c r="AL513" s="3">
        <v>4</v>
      </c>
      <c r="AM513" s="3">
        <v>15</v>
      </c>
      <c r="AN513" s="29">
        <v>0</v>
      </c>
      <c r="AP513" s="3">
        <v>1596</v>
      </c>
      <c r="AR513" s="3">
        <v>1596</v>
      </c>
      <c r="AW513" s="3">
        <v>125000</v>
      </c>
      <c r="AX513" s="3">
        <v>145683</v>
      </c>
      <c r="AY513" s="3">
        <v>85.803026057265399</v>
      </c>
      <c r="AZ513" s="3" t="s">
        <v>82</v>
      </c>
      <c r="BB513" s="3" t="s">
        <v>2630</v>
      </c>
      <c r="BC513" s="3" t="s">
        <v>2631</v>
      </c>
      <c r="BD513" s="8">
        <v>4</v>
      </c>
    </row>
    <row r="514" spans="1:56" ht="14.25" customHeight="1" thickBot="1">
      <c r="A514" s="3" t="s">
        <v>2632</v>
      </c>
      <c r="B514" s="3" t="s">
        <v>2408</v>
      </c>
      <c r="C514" s="3" t="s">
        <v>694</v>
      </c>
      <c r="E514" s="3" t="s">
        <v>71</v>
      </c>
      <c r="F514" s="3">
        <f t="shared" si="2"/>
        <v>5</v>
      </c>
      <c r="G514" s="3" t="s">
        <v>175</v>
      </c>
      <c r="H514" s="3">
        <f t="shared" si="3"/>
        <v>9</v>
      </c>
      <c r="I514" s="3" t="s">
        <v>2633</v>
      </c>
      <c r="J514" s="3" t="s">
        <v>2634</v>
      </c>
      <c r="L514" s="3" t="s">
        <v>2635</v>
      </c>
      <c r="M514" s="3" t="s">
        <v>97</v>
      </c>
      <c r="N514" s="3" t="s">
        <v>98</v>
      </c>
      <c r="O514" s="3" t="s">
        <v>78</v>
      </c>
      <c r="P514" s="3" t="s">
        <v>79</v>
      </c>
      <c r="Q514" s="3" t="s">
        <v>2636</v>
      </c>
      <c r="S514" s="18">
        <v>2.86</v>
      </c>
      <c r="T514" s="18">
        <v>9.7200000000000006</v>
      </c>
      <c r="U514" s="18">
        <v>18.440000000000001</v>
      </c>
      <c r="V514" s="3" t="s">
        <v>176</v>
      </c>
      <c r="AB514" s="3">
        <v>7</v>
      </c>
      <c r="AD514" s="6">
        <v>19.593800000000002</v>
      </c>
      <c r="AE514" s="6">
        <v>-155.42837</v>
      </c>
      <c r="AH514" s="3">
        <v>2018</v>
      </c>
      <c r="AI514" s="3">
        <v>5</v>
      </c>
      <c r="AJ514" s="8">
        <v>3</v>
      </c>
      <c r="AK514" s="3">
        <v>2018</v>
      </c>
      <c r="AL514" s="3">
        <v>5</v>
      </c>
      <c r="AM514" s="3">
        <v>30</v>
      </c>
      <c r="AN514" s="29">
        <v>0</v>
      </c>
      <c r="AP514" s="3">
        <v>2500</v>
      </c>
      <c r="AR514" s="3">
        <v>2500</v>
      </c>
      <c r="AW514" s="3">
        <v>500000</v>
      </c>
      <c r="AX514" s="3">
        <v>582730</v>
      </c>
      <c r="AY514" s="3">
        <v>85.803026057265399</v>
      </c>
      <c r="AZ514" s="3" t="s">
        <v>89</v>
      </c>
      <c r="BA514" s="3" t="s">
        <v>2146</v>
      </c>
      <c r="BC514" s="3" t="s">
        <v>2147</v>
      </c>
      <c r="BD514" s="8">
        <v>4</v>
      </c>
    </row>
    <row r="515" spans="1:56" ht="14.25" customHeight="1" thickBot="1">
      <c r="A515" s="3" t="s">
        <v>2637</v>
      </c>
      <c r="B515" s="3" t="s">
        <v>2408</v>
      </c>
      <c r="C515" s="3" t="s">
        <v>2638</v>
      </c>
      <c r="E515" s="3" t="s">
        <v>71</v>
      </c>
      <c r="F515" s="3">
        <f t="shared" si="2"/>
        <v>3</v>
      </c>
      <c r="G515" s="3" t="s">
        <v>119</v>
      </c>
      <c r="H515" s="3">
        <f t="shared" si="3"/>
        <v>3</v>
      </c>
      <c r="I515" s="3" t="s">
        <v>122</v>
      </c>
      <c r="J515" s="3" t="s">
        <v>227</v>
      </c>
      <c r="L515" s="3" t="s">
        <v>2639</v>
      </c>
      <c r="M515" s="3" t="s">
        <v>97</v>
      </c>
      <c r="N515" s="3" t="s">
        <v>98</v>
      </c>
      <c r="O515" s="3" t="s">
        <v>78</v>
      </c>
      <c r="P515" s="3" t="s">
        <v>79</v>
      </c>
      <c r="Q515" s="3" t="s">
        <v>2640</v>
      </c>
      <c r="S515" s="18">
        <v>0</v>
      </c>
      <c r="T515" s="18">
        <v>20.02</v>
      </c>
      <c r="U515" s="18">
        <v>37.64</v>
      </c>
      <c r="V515" s="3" t="s">
        <v>2196</v>
      </c>
      <c r="AC515" s="3" t="s">
        <v>102</v>
      </c>
      <c r="AD515" s="6">
        <v>40.796509999999998</v>
      </c>
      <c r="AE515" s="6">
        <v>-121.997919</v>
      </c>
      <c r="AH515" s="3">
        <v>2018</v>
      </c>
      <c r="AI515" s="3">
        <v>7</v>
      </c>
      <c r="AJ515" s="8">
        <v>27</v>
      </c>
      <c r="AK515" s="3">
        <v>2018</v>
      </c>
      <c r="AL515" s="3">
        <v>8</v>
      </c>
      <c r="AM515" s="3">
        <v>31</v>
      </c>
      <c r="AN515" s="29">
        <v>14</v>
      </c>
      <c r="AQ515" s="3">
        <v>3237</v>
      </c>
      <c r="AR515" s="3">
        <v>3237</v>
      </c>
      <c r="AW515" s="3">
        <v>1000000</v>
      </c>
      <c r="AX515" s="3">
        <v>1165460</v>
      </c>
      <c r="AY515" s="3">
        <v>85.803026057265399</v>
      </c>
      <c r="AZ515" s="3" t="s">
        <v>82</v>
      </c>
      <c r="BB515" s="3" t="s">
        <v>2641</v>
      </c>
      <c r="BC515" s="3" t="s">
        <v>2642</v>
      </c>
      <c r="BD515" s="8">
        <v>4</v>
      </c>
    </row>
    <row r="516" spans="1:56" ht="14.25" customHeight="1" thickBot="1">
      <c r="A516" s="3" t="s">
        <v>2643</v>
      </c>
      <c r="B516" s="3" t="s">
        <v>2408</v>
      </c>
      <c r="C516" s="3" t="s">
        <v>1136</v>
      </c>
      <c r="E516" s="3" t="s">
        <v>71</v>
      </c>
      <c r="F516" s="3">
        <f t="shared" si="2"/>
        <v>2</v>
      </c>
      <c r="G516" s="3" t="s">
        <v>72</v>
      </c>
      <c r="H516" s="3">
        <f t="shared" si="3"/>
        <v>2</v>
      </c>
      <c r="I516" s="3" t="s">
        <v>73</v>
      </c>
      <c r="J516" s="3" t="s">
        <v>74</v>
      </c>
      <c r="K516" s="3" t="s">
        <v>807</v>
      </c>
      <c r="M516" s="3" t="s">
        <v>97</v>
      </c>
      <c r="N516" s="3" t="s">
        <v>98</v>
      </c>
      <c r="O516" s="3" t="s">
        <v>78</v>
      </c>
      <c r="P516" s="3" t="s">
        <v>79</v>
      </c>
      <c r="Q516" s="3" t="s">
        <v>2644</v>
      </c>
      <c r="S516" s="18">
        <v>0</v>
      </c>
      <c r="T516" s="18">
        <v>7.22</v>
      </c>
      <c r="U516" s="18">
        <v>23.53</v>
      </c>
      <c r="V516" s="3" t="s">
        <v>355</v>
      </c>
      <c r="AC516" s="3" t="s">
        <v>81</v>
      </c>
      <c r="AD516" s="6">
        <v>38.725180000000002</v>
      </c>
      <c r="AE516" s="6">
        <v>-105.607716</v>
      </c>
      <c r="AH516" s="3">
        <v>2018</v>
      </c>
      <c r="AI516" s="3">
        <v>8</v>
      </c>
      <c r="AJ516" s="8">
        <v>6</v>
      </c>
      <c r="AK516" s="3">
        <v>2018</v>
      </c>
      <c r="AL516" s="3">
        <v>8</v>
      </c>
      <c r="AM516" s="3">
        <v>7</v>
      </c>
      <c r="AN516" s="29">
        <v>0</v>
      </c>
      <c r="AO516" s="3">
        <v>18</v>
      </c>
      <c r="AR516" s="3">
        <v>18</v>
      </c>
      <c r="AU516" s="3">
        <v>615000</v>
      </c>
      <c r="AV516" s="3">
        <v>716758</v>
      </c>
      <c r="AW516" s="3">
        <v>1000000</v>
      </c>
      <c r="AX516" s="3">
        <v>1165460</v>
      </c>
      <c r="AY516" s="3">
        <v>85.803026057265399</v>
      </c>
      <c r="AZ516" s="3" t="s">
        <v>89</v>
      </c>
      <c r="BA516" s="3" t="s">
        <v>2645</v>
      </c>
      <c r="BC516" s="3" t="s">
        <v>2646</v>
      </c>
      <c r="BD516" s="8">
        <v>2</v>
      </c>
    </row>
    <row r="517" spans="1:56" ht="14.25" customHeight="1" thickBot="1">
      <c r="A517" s="3" t="s">
        <v>2647</v>
      </c>
      <c r="B517" s="3" t="s">
        <v>2408</v>
      </c>
      <c r="C517" s="3" t="s">
        <v>2648</v>
      </c>
      <c r="E517" s="3" t="s">
        <v>71</v>
      </c>
      <c r="F517" s="3">
        <f t="shared" si="2"/>
        <v>2</v>
      </c>
      <c r="G517" s="3" t="s">
        <v>72</v>
      </c>
      <c r="H517" s="3">
        <f t="shared" si="3"/>
        <v>2</v>
      </c>
      <c r="I517" s="3" t="s">
        <v>73</v>
      </c>
      <c r="M517" s="3" t="s">
        <v>97</v>
      </c>
      <c r="N517" s="3" t="s">
        <v>98</v>
      </c>
      <c r="O517" s="3" t="s">
        <v>78</v>
      </c>
      <c r="P517" s="3" t="s">
        <v>79</v>
      </c>
      <c r="Q517" s="3" t="s">
        <v>2649</v>
      </c>
      <c r="S517" s="18">
        <v>24.68</v>
      </c>
      <c r="T517" s="18">
        <v>14.15</v>
      </c>
      <c r="U517" s="18">
        <v>27.19</v>
      </c>
      <c r="V517" s="3" t="s">
        <v>355</v>
      </c>
      <c r="AC517" s="3" t="s">
        <v>81</v>
      </c>
      <c r="AD517" s="6">
        <v>30.87039</v>
      </c>
      <c r="AE517" s="6">
        <v>-92.007126</v>
      </c>
      <c r="AH517" s="3">
        <v>2018</v>
      </c>
      <c r="AI517" s="3">
        <v>4</v>
      </c>
      <c r="AJ517" s="8">
        <v>13</v>
      </c>
      <c r="AK517" s="3">
        <v>2018</v>
      </c>
      <c r="AL517" s="3">
        <v>4</v>
      </c>
      <c r="AM517" s="3">
        <v>15</v>
      </c>
      <c r="AN517" s="29">
        <v>3</v>
      </c>
      <c r="AW517" s="3">
        <v>1300000</v>
      </c>
      <c r="AX517" s="3">
        <v>1515098</v>
      </c>
      <c r="AY517" s="3">
        <v>85.803026057265399</v>
      </c>
      <c r="AZ517" s="3" t="s">
        <v>89</v>
      </c>
      <c r="BA517" s="3" t="s">
        <v>2650</v>
      </c>
      <c r="BC517" s="3" t="s">
        <v>2651</v>
      </c>
      <c r="BD517" s="8">
        <v>0</v>
      </c>
    </row>
    <row r="518" spans="1:56" ht="14.25" customHeight="1" thickBot="1">
      <c r="A518" s="3" t="s">
        <v>2652</v>
      </c>
      <c r="B518" s="3" t="s">
        <v>2408</v>
      </c>
      <c r="C518" s="3" t="s">
        <v>2653</v>
      </c>
      <c r="E518" s="3" t="s">
        <v>71</v>
      </c>
      <c r="F518" s="3">
        <f t="shared" ref="F518:F661" si="4">IF(G518="Hydrological",1,IF(G518="Meteorological",2,IF(G518="Climatological",3,IF(G518="Biological",4,5))))</f>
        <v>1</v>
      </c>
      <c r="G518" s="3" t="s">
        <v>94</v>
      </c>
      <c r="H518" s="3">
        <f t="shared" ref="H518:H661" si="5">IF(I518="Flood",1,IF(I518="Storm",2,IF(I518="Wildfire",3,IF(I518="Extreme temperature",4,IF(I518="Epidemic",5,IF(I518="Earthquake",6,IF(I518="Drought",7,IF(I518="Landslide",8,9))))))))</f>
        <v>1</v>
      </c>
      <c r="I518" s="3" t="s">
        <v>95</v>
      </c>
      <c r="J518" s="3" t="s">
        <v>96</v>
      </c>
      <c r="M518" s="3" t="s">
        <v>97</v>
      </c>
      <c r="N518" s="3" t="s">
        <v>98</v>
      </c>
      <c r="O518" s="3" t="s">
        <v>78</v>
      </c>
      <c r="P518" s="3" t="s">
        <v>79</v>
      </c>
      <c r="Q518" s="3" t="s">
        <v>2654</v>
      </c>
      <c r="R518" s="3" t="s">
        <v>200</v>
      </c>
      <c r="S518" s="18">
        <v>47.85</v>
      </c>
      <c r="T518" s="18">
        <v>9.18</v>
      </c>
      <c r="U518" s="18">
        <v>14.38</v>
      </c>
      <c r="V518" s="3" t="s">
        <v>73</v>
      </c>
      <c r="Z518" s="3" t="s">
        <v>264</v>
      </c>
      <c r="AC518" s="3" t="s">
        <v>102</v>
      </c>
      <c r="AD518" s="6">
        <v>30.054110000000001</v>
      </c>
      <c r="AE518" s="6">
        <v>-97.388775999999993</v>
      </c>
      <c r="AH518" s="3">
        <v>2018</v>
      </c>
      <c r="AI518" s="3">
        <v>10</v>
      </c>
      <c r="AJ518" s="8">
        <v>15</v>
      </c>
      <c r="AK518" s="3">
        <v>2018</v>
      </c>
      <c r="AL518" s="3">
        <v>10</v>
      </c>
      <c r="AM518" s="3">
        <v>20</v>
      </c>
      <c r="AN518" s="29">
        <v>5</v>
      </c>
      <c r="AW518" s="3">
        <v>400000</v>
      </c>
      <c r="AX518" s="3">
        <v>466184</v>
      </c>
      <c r="AY518" s="3">
        <v>85.803026057265399</v>
      </c>
      <c r="AZ518" s="3" t="s">
        <v>82</v>
      </c>
      <c r="BB518" s="3" t="s">
        <v>2655</v>
      </c>
      <c r="BC518" s="3" t="s">
        <v>2656</v>
      </c>
      <c r="BD518" s="8">
        <v>0</v>
      </c>
    </row>
    <row r="519" spans="1:56" ht="14.25" customHeight="1" thickBot="1">
      <c r="A519" s="3" t="s">
        <v>2657</v>
      </c>
      <c r="B519" s="3" t="s">
        <v>2408</v>
      </c>
      <c r="C519" s="3" t="s">
        <v>1598</v>
      </c>
      <c r="E519" s="3" t="s">
        <v>71</v>
      </c>
      <c r="F519" s="3">
        <f t="shared" si="4"/>
        <v>2</v>
      </c>
      <c r="G519" s="3" t="s">
        <v>72</v>
      </c>
      <c r="H519" s="3">
        <f t="shared" si="5"/>
        <v>2</v>
      </c>
      <c r="I519" s="3" t="s">
        <v>73</v>
      </c>
      <c r="J519" s="3" t="s">
        <v>74</v>
      </c>
      <c r="K519" s="3" t="s">
        <v>127</v>
      </c>
      <c r="M519" s="3" t="s">
        <v>97</v>
      </c>
      <c r="N519" s="3" t="s">
        <v>98</v>
      </c>
      <c r="O519" s="3" t="s">
        <v>78</v>
      </c>
      <c r="P519" s="3" t="s">
        <v>79</v>
      </c>
      <c r="Q519" s="3" t="s">
        <v>2658</v>
      </c>
      <c r="S519" s="18">
        <v>5.1100000000000003</v>
      </c>
      <c r="T519" s="18">
        <v>-19.440000000000001</v>
      </c>
      <c r="U519" s="18">
        <v>-5.67</v>
      </c>
      <c r="V519" s="3" t="s">
        <v>114</v>
      </c>
      <c r="AC519" s="3" t="s">
        <v>81</v>
      </c>
      <c r="AD519" s="6">
        <v>42.378880000000002</v>
      </c>
      <c r="AE519" s="6">
        <v>-72.032365999999996</v>
      </c>
      <c r="AH519" s="3">
        <v>2018</v>
      </c>
      <c r="AI519" s="3">
        <v>1</v>
      </c>
      <c r="AJ519" s="8">
        <v>3</v>
      </c>
      <c r="AK519" s="3">
        <v>2018</v>
      </c>
      <c r="AL519" s="3">
        <v>1</v>
      </c>
      <c r="AM519" s="3">
        <v>5</v>
      </c>
      <c r="AN519" s="29">
        <v>22</v>
      </c>
      <c r="AW519" s="3">
        <v>1000000</v>
      </c>
      <c r="AX519" s="3">
        <v>1165460</v>
      </c>
      <c r="AY519" s="3">
        <v>85.803026057265399</v>
      </c>
      <c r="AZ519" s="3" t="s">
        <v>89</v>
      </c>
      <c r="BA519" s="3" t="s">
        <v>2659</v>
      </c>
      <c r="BC519" s="3" t="s">
        <v>2660</v>
      </c>
      <c r="BD519" s="8">
        <v>0</v>
      </c>
    </row>
    <row r="520" spans="1:56" ht="14.25" customHeight="1" thickBot="1">
      <c r="A520" s="3" t="s">
        <v>2661</v>
      </c>
      <c r="B520" s="3" t="s">
        <v>2408</v>
      </c>
      <c r="C520" s="3" t="s">
        <v>2662</v>
      </c>
      <c r="E520" s="3" t="s">
        <v>71</v>
      </c>
      <c r="F520" s="3">
        <f t="shared" si="4"/>
        <v>2</v>
      </c>
      <c r="G520" s="3" t="s">
        <v>72</v>
      </c>
      <c r="H520" s="3">
        <f t="shared" si="5"/>
        <v>2</v>
      </c>
      <c r="I520" s="3" t="s">
        <v>73</v>
      </c>
      <c r="J520" s="3" t="s">
        <v>74</v>
      </c>
      <c r="K520" s="3" t="s">
        <v>127</v>
      </c>
      <c r="M520" s="3" t="s">
        <v>97</v>
      </c>
      <c r="N520" s="3" t="s">
        <v>98</v>
      </c>
      <c r="O520" s="3" t="s">
        <v>78</v>
      </c>
      <c r="P520" s="3" t="s">
        <v>79</v>
      </c>
      <c r="Q520" s="3" t="s">
        <v>2663</v>
      </c>
      <c r="S520" s="18">
        <v>0</v>
      </c>
      <c r="T520" s="18">
        <v>0.11</v>
      </c>
      <c r="U520" s="18">
        <v>12.9</v>
      </c>
      <c r="V520" s="3" t="s">
        <v>95</v>
      </c>
      <c r="AC520" s="3" t="s">
        <v>81</v>
      </c>
      <c r="AD520" s="10">
        <v>32.699199999999998</v>
      </c>
      <c r="AE520" s="11">
        <v>-103.198447</v>
      </c>
      <c r="AH520" s="3">
        <v>2018</v>
      </c>
      <c r="AI520" s="3">
        <v>12</v>
      </c>
      <c r="AJ520" s="8">
        <v>26</v>
      </c>
      <c r="AK520" s="3">
        <v>2018</v>
      </c>
      <c r="AL520" s="3">
        <v>12</v>
      </c>
      <c r="AM520" s="3">
        <v>28</v>
      </c>
      <c r="AN520" s="29">
        <v>2</v>
      </c>
      <c r="AW520" s="3">
        <v>150000</v>
      </c>
      <c r="AX520" s="3">
        <v>174819</v>
      </c>
      <c r="AY520" s="3">
        <v>85.803026057265399</v>
      </c>
      <c r="AZ520" s="3" t="s">
        <v>89</v>
      </c>
      <c r="BA520" s="3" t="s">
        <v>2664</v>
      </c>
      <c r="BC520" s="3" t="s">
        <v>2665</v>
      </c>
      <c r="BD520" s="8">
        <v>0</v>
      </c>
    </row>
    <row r="521" spans="1:56" ht="14.25" customHeight="1" thickBot="1">
      <c r="A521" s="3" t="s">
        <v>2666</v>
      </c>
      <c r="B521" s="3" t="s">
        <v>2408</v>
      </c>
      <c r="C521" s="3" t="s">
        <v>1479</v>
      </c>
      <c r="E521" s="3" t="s">
        <v>71</v>
      </c>
      <c r="F521" s="3">
        <f t="shared" si="4"/>
        <v>2</v>
      </c>
      <c r="G521" s="3" t="s">
        <v>72</v>
      </c>
      <c r="H521" s="3">
        <f t="shared" si="5"/>
        <v>2</v>
      </c>
      <c r="I521" s="3" t="s">
        <v>73</v>
      </c>
      <c r="J521" s="3" t="s">
        <v>212</v>
      </c>
      <c r="L521" s="3" t="s">
        <v>2667</v>
      </c>
      <c r="M521" s="3" t="s">
        <v>97</v>
      </c>
      <c r="N521" s="3" t="s">
        <v>98</v>
      </c>
      <c r="O521" s="3" t="s">
        <v>78</v>
      </c>
      <c r="P521" s="3" t="s">
        <v>79</v>
      </c>
      <c r="Q521" s="3" t="s">
        <v>2668</v>
      </c>
      <c r="S521" s="18">
        <v>8.61</v>
      </c>
      <c r="T521" s="18">
        <v>22.19</v>
      </c>
      <c r="U521" s="18">
        <v>33.020000000000003</v>
      </c>
      <c r="V521" s="3" t="s">
        <v>95</v>
      </c>
      <c r="Z521" s="3" t="s">
        <v>264</v>
      </c>
      <c r="AC521" s="3" t="s">
        <v>81</v>
      </c>
      <c r="AD521" s="5">
        <v>34.024118355483303</v>
      </c>
      <c r="AE521" s="17">
        <v>-80.940309211947095</v>
      </c>
      <c r="AH521" s="3">
        <v>2018</v>
      </c>
      <c r="AI521" s="3">
        <v>9</v>
      </c>
      <c r="AJ521" s="8">
        <v>12</v>
      </c>
      <c r="AK521" s="3">
        <v>2018</v>
      </c>
      <c r="AL521" s="3">
        <v>9</v>
      </c>
      <c r="AM521" s="3">
        <v>18</v>
      </c>
      <c r="AN521" s="29">
        <v>53</v>
      </c>
      <c r="AP521" s="3">
        <v>1500000</v>
      </c>
      <c r="AR521" s="3">
        <v>1500000</v>
      </c>
      <c r="AU521" s="3">
        <v>5000000</v>
      </c>
      <c r="AV521" s="3">
        <v>5827300</v>
      </c>
      <c r="AW521" s="3">
        <v>14000000</v>
      </c>
      <c r="AX521" s="3">
        <v>16316441</v>
      </c>
      <c r="AY521" s="3">
        <v>85.803026057265399</v>
      </c>
      <c r="AZ521" s="3" t="s">
        <v>89</v>
      </c>
      <c r="BA521" s="3" t="s">
        <v>1120</v>
      </c>
      <c r="BC521" s="3" t="s">
        <v>1121</v>
      </c>
      <c r="BD521" s="8">
        <v>7</v>
      </c>
    </row>
    <row r="522" spans="1:56" ht="14.25" customHeight="1" thickBot="1">
      <c r="A522" s="3" t="s">
        <v>2669</v>
      </c>
      <c r="B522" s="3" t="s">
        <v>2408</v>
      </c>
      <c r="C522" s="3" t="s">
        <v>1328</v>
      </c>
      <c r="E522" s="3" t="s">
        <v>71</v>
      </c>
      <c r="F522" s="3">
        <f t="shared" si="4"/>
        <v>1</v>
      </c>
      <c r="G522" s="3" t="s">
        <v>94</v>
      </c>
      <c r="H522" s="3">
        <f t="shared" si="5"/>
        <v>8</v>
      </c>
      <c r="I522" s="3" t="s">
        <v>803</v>
      </c>
      <c r="J522" s="3" t="s">
        <v>804</v>
      </c>
      <c r="M522" s="3" t="s">
        <v>97</v>
      </c>
      <c r="N522" s="3" t="s">
        <v>98</v>
      </c>
      <c r="O522" s="3" t="s">
        <v>78</v>
      </c>
      <c r="P522" s="3" t="s">
        <v>79</v>
      </c>
      <c r="Q522" s="3" t="s">
        <v>2670</v>
      </c>
      <c r="R522" s="3" t="s">
        <v>200</v>
      </c>
      <c r="S522" s="18">
        <v>27.6</v>
      </c>
      <c r="T522" s="18">
        <v>13.04</v>
      </c>
      <c r="U522" s="18">
        <v>18.62</v>
      </c>
      <c r="V522" s="3" t="s">
        <v>95</v>
      </c>
      <c r="AD522" s="5">
        <v>34.427173995550397</v>
      </c>
      <c r="AE522" s="17">
        <v>-119.707972753296</v>
      </c>
      <c r="AH522" s="3">
        <v>2018</v>
      </c>
      <c r="AI522" s="3">
        <v>1</v>
      </c>
      <c r="AJ522" s="8">
        <v>8</v>
      </c>
      <c r="AK522" s="3">
        <v>2018</v>
      </c>
      <c r="AL522" s="3">
        <v>1</v>
      </c>
      <c r="AM522" s="3">
        <v>14</v>
      </c>
      <c r="AN522" s="29">
        <v>21</v>
      </c>
      <c r="AO522" s="3">
        <v>28</v>
      </c>
      <c r="AP522" s="3">
        <v>1338</v>
      </c>
      <c r="AR522" s="3">
        <v>1366</v>
      </c>
      <c r="AW522" s="3">
        <v>900000</v>
      </c>
      <c r="AX522" s="3">
        <v>1048914</v>
      </c>
      <c r="AY522" s="3">
        <v>85.803026057265399</v>
      </c>
      <c r="AZ522" s="3" t="s">
        <v>82</v>
      </c>
      <c r="BB522" s="3" t="s">
        <v>2671</v>
      </c>
      <c r="BC522" s="3" t="s">
        <v>2672</v>
      </c>
      <c r="BD522" s="8">
        <v>4</v>
      </c>
    </row>
    <row r="523" spans="1:56" ht="14.25" customHeight="1" thickBot="1">
      <c r="A523" s="3" t="s">
        <v>2673</v>
      </c>
      <c r="B523" s="3" t="s">
        <v>2408</v>
      </c>
      <c r="C523" s="3" t="s">
        <v>2674</v>
      </c>
      <c r="E523" s="3" t="s">
        <v>71</v>
      </c>
      <c r="F523" s="3">
        <f t="shared" si="4"/>
        <v>2</v>
      </c>
      <c r="G523" s="3" t="s">
        <v>72</v>
      </c>
      <c r="H523" s="3">
        <f t="shared" si="5"/>
        <v>2</v>
      </c>
      <c r="I523" s="3" t="s">
        <v>73</v>
      </c>
      <c r="J523" s="3" t="s">
        <v>212</v>
      </c>
      <c r="L523" s="3" t="s">
        <v>2675</v>
      </c>
      <c r="M523" s="3" t="s">
        <v>97</v>
      </c>
      <c r="N523" s="3" t="s">
        <v>98</v>
      </c>
      <c r="O523" s="3" t="s">
        <v>78</v>
      </c>
      <c r="P523" s="3" t="s">
        <v>79</v>
      </c>
      <c r="Q523" s="3" t="s">
        <v>2676</v>
      </c>
      <c r="S523" s="18">
        <v>1.46</v>
      </c>
      <c r="T523" s="18">
        <v>24.72</v>
      </c>
      <c r="U523" s="18">
        <v>32.19</v>
      </c>
      <c r="V523" s="3" t="s">
        <v>1537</v>
      </c>
      <c r="AB523" s="3">
        <v>250</v>
      </c>
      <c r="AC523" s="3" t="s">
        <v>81</v>
      </c>
      <c r="AD523" s="6">
        <v>27.756769999999999</v>
      </c>
      <c r="AE523" s="6">
        <v>-81.463982999999999</v>
      </c>
      <c r="AH523" s="3">
        <v>2018</v>
      </c>
      <c r="AI523" s="3">
        <v>10</v>
      </c>
      <c r="AJ523" s="8">
        <v>10</v>
      </c>
      <c r="AK523" s="3">
        <v>2018</v>
      </c>
      <c r="AL523" s="3">
        <v>10</v>
      </c>
      <c r="AM523" s="3">
        <v>11</v>
      </c>
      <c r="AN523" s="29">
        <v>49</v>
      </c>
      <c r="AP523" s="3">
        <v>5000</v>
      </c>
      <c r="AR523" s="3">
        <v>5000</v>
      </c>
      <c r="AU523" s="3">
        <v>10000000</v>
      </c>
      <c r="AV523" s="3">
        <v>11654601</v>
      </c>
      <c r="AW523" s="3">
        <v>16000000</v>
      </c>
      <c r="AX523" s="3">
        <v>18647361</v>
      </c>
      <c r="AY523" s="3">
        <v>85.803026057265399</v>
      </c>
      <c r="AZ523" s="3" t="s">
        <v>89</v>
      </c>
      <c r="BA523" s="3" t="s">
        <v>2677</v>
      </c>
      <c r="BC523" s="3" t="s">
        <v>2678</v>
      </c>
      <c r="BD523" s="8">
        <v>4</v>
      </c>
    </row>
    <row r="524" spans="1:56" ht="14.25" customHeight="1" thickBot="1">
      <c r="A524" s="3" t="s">
        <v>2679</v>
      </c>
      <c r="B524" s="3" t="s">
        <v>2408</v>
      </c>
      <c r="C524" s="3" t="s">
        <v>237</v>
      </c>
      <c r="E524" s="3" t="s">
        <v>71</v>
      </c>
      <c r="F524" s="3">
        <f t="shared" si="4"/>
        <v>2</v>
      </c>
      <c r="G524" s="3" t="s">
        <v>72</v>
      </c>
      <c r="H524" s="3">
        <f t="shared" si="5"/>
        <v>2</v>
      </c>
      <c r="I524" s="3" t="s">
        <v>73</v>
      </c>
      <c r="J524" s="3" t="s">
        <v>74</v>
      </c>
      <c r="K524" s="3" t="s">
        <v>75</v>
      </c>
      <c r="M524" s="3" t="s">
        <v>97</v>
      </c>
      <c r="N524" s="3" t="s">
        <v>98</v>
      </c>
      <c r="O524" s="3" t="s">
        <v>78</v>
      </c>
      <c r="P524" s="3" t="s">
        <v>79</v>
      </c>
      <c r="Q524" s="3" t="s">
        <v>2680</v>
      </c>
      <c r="S524" s="18">
        <v>12.34</v>
      </c>
      <c r="T524" s="18">
        <v>18.34</v>
      </c>
      <c r="U524" s="18">
        <v>29.17</v>
      </c>
      <c r="V524" s="3" t="s">
        <v>2032</v>
      </c>
      <c r="AC524" s="3" t="s">
        <v>81</v>
      </c>
      <c r="AD524" s="6">
        <v>41.407310000000003</v>
      </c>
      <c r="AE524" s="6">
        <v>-92.917406999999997</v>
      </c>
      <c r="AH524" s="3">
        <v>2018</v>
      </c>
      <c r="AI524" s="3">
        <v>7</v>
      </c>
      <c r="AJ524" s="8">
        <v>19</v>
      </c>
      <c r="AK524" s="3">
        <v>2018</v>
      </c>
      <c r="AL524" s="3">
        <v>7</v>
      </c>
      <c r="AM524" s="3">
        <v>22</v>
      </c>
      <c r="AN524" s="29">
        <v>0</v>
      </c>
      <c r="AU524" s="3">
        <v>400000</v>
      </c>
      <c r="AV524" s="3">
        <v>466184</v>
      </c>
      <c r="AW524" s="3">
        <v>1500000</v>
      </c>
      <c r="AX524" s="3">
        <v>1748190</v>
      </c>
      <c r="AY524" s="3">
        <v>85.803026057265399</v>
      </c>
      <c r="AZ524" s="3" t="s">
        <v>206</v>
      </c>
      <c r="BA524" s="3" t="s">
        <v>2681</v>
      </c>
      <c r="BB524" s="3" t="s">
        <v>2682</v>
      </c>
      <c r="BC524" s="3" t="s">
        <v>2683</v>
      </c>
      <c r="BD524" s="8">
        <v>0</v>
      </c>
    </row>
    <row r="525" spans="1:56" ht="14.25" customHeight="1" thickBot="1">
      <c r="A525" s="3" t="s">
        <v>2684</v>
      </c>
      <c r="B525" s="3" t="s">
        <v>2408</v>
      </c>
      <c r="C525" s="3" t="s">
        <v>2218</v>
      </c>
      <c r="E525" s="3" t="s">
        <v>71</v>
      </c>
      <c r="F525" s="3">
        <f t="shared" si="4"/>
        <v>2</v>
      </c>
      <c r="G525" s="3" t="s">
        <v>72</v>
      </c>
      <c r="H525" s="3">
        <f t="shared" si="5"/>
        <v>2</v>
      </c>
      <c r="I525" s="3" t="s">
        <v>73</v>
      </c>
      <c r="J525" s="3" t="s">
        <v>74</v>
      </c>
      <c r="K525" s="3" t="s">
        <v>127</v>
      </c>
      <c r="M525" s="3" t="s">
        <v>97</v>
      </c>
      <c r="N525" s="3" t="s">
        <v>98</v>
      </c>
      <c r="O525" s="3" t="s">
        <v>78</v>
      </c>
      <c r="P525" s="3" t="s">
        <v>79</v>
      </c>
      <c r="Q525" s="3" t="s">
        <v>2685</v>
      </c>
      <c r="S525" s="18">
        <v>5.84</v>
      </c>
      <c r="T525" s="18">
        <v>-12.49</v>
      </c>
      <c r="U525" s="18">
        <v>-2.54</v>
      </c>
      <c r="AC525" s="3" t="s">
        <v>81</v>
      </c>
      <c r="AD525" s="6">
        <v>38.725180000000002</v>
      </c>
      <c r="AE525" s="6">
        <v>-105.607716</v>
      </c>
      <c r="AH525" s="3">
        <v>2018</v>
      </c>
      <c r="AI525" s="3">
        <v>1</v>
      </c>
      <c r="AJ525" s="8">
        <v>21</v>
      </c>
      <c r="AK525" s="3">
        <v>2018</v>
      </c>
      <c r="AL525" s="3">
        <v>1</v>
      </c>
      <c r="AM525" s="3">
        <v>24</v>
      </c>
      <c r="AN525" s="29">
        <v>10</v>
      </c>
      <c r="AW525" s="3">
        <v>50000</v>
      </c>
      <c r="AX525" s="3">
        <v>58273</v>
      </c>
      <c r="AY525" s="3">
        <v>85.803026057265399</v>
      </c>
      <c r="AZ525" s="3" t="s">
        <v>89</v>
      </c>
      <c r="BA525" s="3" t="s">
        <v>2686</v>
      </c>
      <c r="BC525" s="3" t="s">
        <v>2687</v>
      </c>
      <c r="BD525" s="8">
        <v>0</v>
      </c>
    </row>
    <row r="526" spans="1:56" ht="14.25" customHeight="1" thickBot="1">
      <c r="A526" s="3" t="s">
        <v>2688</v>
      </c>
      <c r="B526" s="3" t="s">
        <v>2408</v>
      </c>
      <c r="C526" s="3" t="s">
        <v>578</v>
      </c>
      <c r="E526" s="3" t="s">
        <v>71</v>
      </c>
      <c r="F526" s="3">
        <f t="shared" si="4"/>
        <v>1</v>
      </c>
      <c r="G526" s="3" t="s">
        <v>94</v>
      </c>
      <c r="H526" s="3">
        <f t="shared" si="5"/>
        <v>1</v>
      </c>
      <c r="I526" s="3" t="s">
        <v>95</v>
      </c>
      <c r="J526" s="3" t="s">
        <v>185</v>
      </c>
      <c r="M526" s="3" t="s">
        <v>97</v>
      </c>
      <c r="N526" s="3" t="s">
        <v>98</v>
      </c>
      <c r="O526" s="3" t="s">
        <v>78</v>
      </c>
      <c r="P526" s="3" t="s">
        <v>79</v>
      </c>
      <c r="Q526" s="3" t="s">
        <v>2689</v>
      </c>
      <c r="R526" s="3" t="s">
        <v>2690</v>
      </c>
      <c r="S526" s="18">
        <v>19.39</v>
      </c>
      <c r="T526" s="18">
        <v>17.02</v>
      </c>
      <c r="U526" s="18">
        <v>22.37</v>
      </c>
      <c r="Z526" s="3" t="s">
        <v>264</v>
      </c>
      <c r="AC526" s="3" t="s">
        <v>102</v>
      </c>
      <c r="AD526" s="6">
        <v>44.430900000000001</v>
      </c>
      <c r="AE526" s="6">
        <v>-89.688463999999996</v>
      </c>
      <c r="AH526" s="3">
        <v>2018</v>
      </c>
      <c r="AI526" s="3">
        <v>9</v>
      </c>
      <c r="AJ526" s="8">
        <v>3</v>
      </c>
      <c r="AK526" s="3">
        <v>2018</v>
      </c>
      <c r="AL526" s="3">
        <v>9</v>
      </c>
      <c r="AM526" s="3">
        <v>11</v>
      </c>
      <c r="AN526" s="29">
        <v>2</v>
      </c>
      <c r="AW526" s="3">
        <v>250000</v>
      </c>
      <c r="AX526" s="3">
        <v>291365</v>
      </c>
      <c r="AY526" s="3">
        <v>85.803026057265399</v>
      </c>
      <c r="AZ526" s="3" t="s">
        <v>89</v>
      </c>
      <c r="BA526" s="3" t="s">
        <v>2691</v>
      </c>
      <c r="BC526" s="3" t="s">
        <v>2692</v>
      </c>
      <c r="BD526" s="8">
        <v>0</v>
      </c>
    </row>
    <row r="527" spans="1:56" ht="14.25" customHeight="1" thickBot="1">
      <c r="A527" s="3" t="s">
        <v>2693</v>
      </c>
      <c r="B527" s="3" t="s">
        <v>2408</v>
      </c>
      <c r="C527" s="3" t="s">
        <v>969</v>
      </c>
      <c r="E527" s="3" t="s">
        <v>71</v>
      </c>
      <c r="F527" s="3">
        <f t="shared" si="4"/>
        <v>2</v>
      </c>
      <c r="G527" s="3" t="s">
        <v>72</v>
      </c>
      <c r="H527" s="3">
        <f t="shared" si="5"/>
        <v>2</v>
      </c>
      <c r="I527" s="3" t="s">
        <v>73</v>
      </c>
      <c r="J527" s="3" t="s">
        <v>74</v>
      </c>
      <c r="M527" s="3" t="s">
        <v>97</v>
      </c>
      <c r="N527" s="3" t="s">
        <v>98</v>
      </c>
      <c r="O527" s="3" t="s">
        <v>78</v>
      </c>
      <c r="P527" s="3" t="s">
        <v>79</v>
      </c>
      <c r="Q527" s="3" t="s">
        <v>2694</v>
      </c>
      <c r="S527" s="18">
        <v>5.54</v>
      </c>
      <c r="T527" s="18">
        <v>10.6</v>
      </c>
      <c r="U527" s="18">
        <v>12.85</v>
      </c>
      <c r="AB527" s="3">
        <v>110</v>
      </c>
      <c r="AC527" s="3" t="s">
        <v>81</v>
      </c>
      <c r="AD527" s="6">
        <v>40.712730000000001</v>
      </c>
      <c r="AE527" s="6">
        <v>-74.006015000000005</v>
      </c>
      <c r="AH527" s="3">
        <v>2018</v>
      </c>
      <c r="AI527" s="3">
        <v>5</v>
      </c>
      <c r="AJ527" s="8">
        <v>13</v>
      </c>
      <c r="AK527" s="3">
        <v>2018</v>
      </c>
      <c r="AL527" s="3">
        <v>5</v>
      </c>
      <c r="AM527" s="3">
        <v>15</v>
      </c>
      <c r="AN527" s="29">
        <v>5</v>
      </c>
      <c r="AP527" s="3">
        <v>75</v>
      </c>
      <c r="AR527" s="3">
        <v>75</v>
      </c>
      <c r="AW527" s="3">
        <v>1450000</v>
      </c>
      <c r="AX527" s="3">
        <v>1689917</v>
      </c>
      <c r="AY527" s="3">
        <v>85.803026057265399</v>
      </c>
      <c r="AZ527" s="3" t="s">
        <v>206</v>
      </c>
      <c r="BA527" s="3" t="s">
        <v>2695</v>
      </c>
      <c r="BB527" s="3" t="s">
        <v>2696</v>
      </c>
      <c r="BC527" s="3" t="s">
        <v>2697</v>
      </c>
      <c r="BD527" s="8">
        <v>2</v>
      </c>
    </row>
    <row r="528" spans="1:56" ht="14.25" customHeight="1" thickBot="1">
      <c r="A528" s="3" t="s">
        <v>2698</v>
      </c>
      <c r="B528" s="3" t="s">
        <v>2408</v>
      </c>
      <c r="C528" s="3" t="s">
        <v>1235</v>
      </c>
      <c r="E528" s="3" t="s">
        <v>71</v>
      </c>
      <c r="F528" s="3">
        <f t="shared" si="4"/>
        <v>2</v>
      </c>
      <c r="G528" s="3" t="s">
        <v>72</v>
      </c>
      <c r="H528" s="3">
        <f t="shared" si="5"/>
        <v>2</v>
      </c>
      <c r="I528" s="3" t="s">
        <v>73</v>
      </c>
      <c r="J528" s="3" t="s">
        <v>212</v>
      </c>
      <c r="L528" s="3" t="s">
        <v>2699</v>
      </c>
      <c r="M528" s="3" t="s">
        <v>97</v>
      </c>
      <c r="N528" s="3" t="s">
        <v>98</v>
      </c>
      <c r="O528" s="3" t="s">
        <v>78</v>
      </c>
      <c r="P528" s="3" t="s">
        <v>79</v>
      </c>
      <c r="Q528" s="3" t="s">
        <v>2700</v>
      </c>
      <c r="S528" s="18">
        <v>33.67</v>
      </c>
      <c r="T528" s="18">
        <v>21.57</v>
      </c>
      <c r="U528" s="18">
        <v>24.86</v>
      </c>
      <c r="AC528" s="3" t="s">
        <v>81</v>
      </c>
      <c r="AD528" s="6">
        <v>30.278164004232099</v>
      </c>
      <c r="AE528" s="23">
        <v>-82.351407512940796</v>
      </c>
      <c r="AH528" s="3">
        <v>2018</v>
      </c>
      <c r="AI528" s="3">
        <v>5</v>
      </c>
      <c r="AJ528" s="8">
        <v>27</v>
      </c>
      <c r="AK528" s="3">
        <v>2018</v>
      </c>
      <c r="AL528" s="3">
        <v>5</v>
      </c>
      <c r="AM528" s="3">
        <v>30</v>
      </c>
      <c r="AN528" s="29">
        <v>5</v>
      </c>
      <c r="AW528" s="3">
        <v>125000</v>
      </c>
      <c r="AX528" s="3">
        <v>145683</v>
      </c>
      <c r="AY528" s="3">
        <v>85.803026057265399</v>
      </c>
      <c r="AZ528" s="3" t="s">
        <v>89</v>
      </c>
      <c r="BA528" s="3" t="s">
        <v>2701</v>
      </c>
      <c r="BC528" s="3" t="s">
        <v>2702</v>
      </c>
      <c r="BD528" s="8">
        <v>0</v>
      </c>
    </row>
    <row r="529" spans="1:56" ht="14.25" customHeight="1" thickBot="1">
      <c r="A529" s="3" t="s">
        <v>2703</v>
      </c>
      <c r="B529" s="3" t="s">
        <v>2408</v>
      </c>
      <c r="C529" s="3" t="s">
        <v>318</v>
      </c>
      <c r="E529" s="3" t="s">
        <v>71</v>
      </c>
      <c r="F529" s="3">
        <f t="shared" si="4"/>
        <v>3</v>
      </c>
      <c r="G529" s="3" t="s">
        <v>119</v>
      </c>
      <c r="H529" s="3">
        <f t="shared" si="5"/>
        <v>3</v>
      </c>
      <c r="I529" s="3" t="s">
        <v>122</v>
      </c>
      <c r="J529" s="3" t="s">
        <v>227</v>
      </c>
      <c r="L529" s="3" t="s">
        <v>2704</v>
      </c>
      <c r="M529" s="3" t="s">
        <v>97</v>
      </c>
      <c r="N529" s="3" t="s">
        <v>98</v>
      </c>
      <c r="O529" s="3" t="s">
        <v>78</v>
      </c>
      <c r="P529" s="3" t="s">
        <v>79</v>
      </c>
      <c r="Q529" s="3" t="s">
        <v>2705</v>
      </c>
      <c r="S529" s="18">
        <v>0</v>
      </c>
      <c r="T529" s="18">
        <v>10.73</v>
      </c>
      <c r="U529" s="18">
        <v>30.16</v>
      </c>
      <c r="Z529" s="3" t="s">
        <v>264</v>
      </c>
      <c r="AC529" s="3" t="s">
        <v>102</v>
      </c>
      <c r="AD529" s="5">
        <v>39.643600073981403</v>
      </c>
      <c r="AE529" s="17">
        <v>-121.554861349465</v>
      </c>
      <c r="AH529" s="3">
        <v>2018</v>
      </c>
      <c r="AI529" s="3">
        <v>6</v>
      </c>
      <c r="AJ529" s="8">
        <v>1</v>
      </c>
      <c r="AK529" s="3">
        <v>2018</v>
      </c>
      <c r="AL529" s="3">
        <v>12</v>
      </c>
      <c r="AM529" s="3">
        <v>31</v>
      </c>
      <c r="AN529" s="29">
        <v>88</v>
      </c>
      <c r="AP529" s="3">
        <v>250000</v>
      </c>
      <c r="AR529" s="3">
        <v>250000</v>
      </c>
      <c r="AU529" s="3">
        <v>12500000</v>
      </c>
      <c r="AV529" s="3">
        <v>14568251</v>
      </c>
      <c r="AW529" s="3">
        <v>16500000</v>
      </c>
      <c r="AX529" s="3">
        <v>19230091</v>
      </c>
      <c r="AY529" s="3">
        <v>85.803026057265399</v>
      </c>
      <c r="AZ529" s="3" t="s">
        <v>82</v>
      </c>
      <c r="BB529" s="3" t="s">
        <v>2706</v>
      </c>
      <c r="BC529" s="3" t="s">
        <v>2707</v>
      </c>
      <c r="BD529" s="8">
        <v>6</v>
      </c>
    </row>
    <row r="530" spans="1:56" ht="14.25" customHeight="1" thickBot="1">
      <c r="A530" s="3" t="s">
        <v>2708</v>
      </c>
      <c r="B530" s="3" t="s">
        <v>2408</v>
      </c>
      <c r="C530" s="3" t="s">
        <v>2709</v>
      </c>
      <c r="E530" s="3" t="s">
        <v>71</v>
      </c>
      <c r="F530" s="3">
        <f t="shared" si="4"/>
        <v>3</v>
      </c>
      <c r="G530" s="3" t="s">
        <v>119</v>
      </c>
      <c r="H530" s="3">
        <f t="shared" si="5"/>
        <v>7</v>
      </c>
      <c r="I530" s="3" t="s">
        <v>120</v>
      </c>
      <c r="J530" s="3" t="s">
        <v>120</v>
      </c>
      <c r="M530" s="3" t="s">
        <v>97</v>
      </c>
      <c r="N530" s="3" t="s">
        <v>98</v>
      </c>
      <c r="O530" s="3" t="s">
        <v>78</v>
      </c>
      <c r="P530" s="3" t="s">
        <v>79</v>
      </c>
      <c r="Q530" s="3" t="s">
        <v>2710</v>
      </c>
      <c r="S530" s="18">
        <v>0</v>
      </c>
      <c r="T530" s="18">
        <v>10.06</v>
      </c>
      <c r="U530" s="18">
        <v>21.37</v>
      </c>
      <c r="AC530" s="3" t="s">
        <v>102</v>
      </c>
      <c r="AD530" s="6">
        <v>34.170560000000002</v>
      </c>
      <c r="AE530" s="6">
        <v>-118.837594</v>
      </c>
      <c r="AH530" s="3">
        <v>2018</v>
      </c>
      <c r="AI530" s="3">
        <v>1</v>
      </c>
      <c r="AJ530" s="8">
        <v>1</v>
      </c>
      <c r="AK530" s="3">
        <v>2018</v>
      </c>
      <c r="AL530" s="3">
        <v>12</v>
      </c>
      <c r="AN530" s="29">
        <v>0</v>
      </c>
      <c r="AW530" s="3">
        <v>3000000</v>
      </c>
      <c r="AX530" s="3">
        <v>3496380</v>
      </c>
      <c r="AY530" s="3">
        <v>85.803026057265399</v>
      </c>
      <c r="AZ530" s="3" t="s">
        <v>89</v>
      </c>
      <c r="BA530" s="3" t="s">
        <v>2711</v>
      </c>
      <c r="BC530" s="3" t="s">
        <v>2712</v>
      </c>
      <c r="BD530" s="8">
        <v>0</v>
      </c>
    </row>
    <row r="531" spans="1:56" ht="14.25" customHeight="1" thickBot="1">
      <c r="A531" s="3" t="s">
        <v>2713</v>
      </c>
      <c r="B531" s="3" t="s">
        <v>2408</v>
      </c>
      <c r="C531" s="3" t="s">
        <v>669</v>
      </c>
      <c r="E531" s="3" t="s">
        <v>71</v>
      </c>
      <c r="F531" s="3">
        <f t="shared" si="4"/>
        <v>3</v>
      </c>
      <c r="G531" s="3" t="s">
        <v>119</v>
      </c>
      <c r="H531" s="3">
        <f t="shared" si="5"/>
        <v>3</v>
      </c>
      <c r="I531" s="3" t="s">
        <v>122</v>
      </c>
      <c r="L531" s="3" t="s">
        <v>2714</v>
      </c>
      <c r="M531" s="3" t="s">
        <v>97</v>
      </c>
      <c r="N531" s="3" t="s">
        <v>98</v>
      </c>
      <c r="O531" s="3" t="s">
        <v>78</v>
      </c>
      <c r="P531" s="3" t="s">
        <v>79</v>
      </c>
      <c r="Q531" s="3" t="s">
        <v>2715</v>
      </c>
      <c r="S531" s="18">
        <v>0</v>
      </c>
      <c r="T531" s="18">
        <v>7.15</v>
      </c>
      <c r="U531" s="18">
        <v>20.8</v>
      </c>
      <c r="AC531" s="3" t="s">
        <v>102</v>
      </c>
      <c r="AD531" s="6">
        <v>38.449089999999998</v>
      </c>
      <c r="AE531" s="6">
        <v>-120.59110200000001</v>
      </c>
      <c r="AH531" s="3">
        <v>2018</v>
      </c>
      <c r="AI531" s="3">
        <v>11</v>
      </c>
      <c r="AJ531" s="8">
        <v>8</v>
      </c>
      <c r="AK531" s="3">
        <v>2018</v>
      </c>
      <c r="AL531" s="3">
        <v>11</v>
      </c>
      <c r="AM531" s="3">
        <v>21</v>
      </c>
      <c r="AN531" s="29">
        <v>2</v>
      </c>
      <c r="AO531" s="3">
        <v>3</v>
      </c>
      <c r="AR531" s="3">
        <v>3</v>
      </c>
      <c r="AU531" s="3">
        <v>4000000</v>
      </c>
      <c r="AV531" s="3">
        <v>4661840</v>
      </c>
      <c r="AW531" s="3">
        <v>5200000</v>
      </c>
      <c r="AX531" s="3">
        <v>6060392</v>
      </c>
      <c r="AY531" s="3">
        <v>85.803026057265399</v>
      </c>
      <c r="AZ531" s="3" t="s">
        <v>82</v>
      </c>
      <c r="BB531" s="3" t="s">
        <v>2716</v>
      </c>
      <c r="BC531" s="3" t="s">
        <v>2717</v>
      </c>
      <c r="BD531" s="8">
        <v>1</v>
      </c>
    </row>
    <row r="532" spans="1:56" ht="14.25" customHeight="1" thickBot="1">
      <c r="A532" s="3" t="s">
        <v>2718</v>
      </c>
      <c r="B532" s="3" t="s">
        <v>2426</v>
      </c>
      <c r="C532" s="3" t="s">
        <v>2330</v>
      </c>
      <c r="E532" s="3" t="s">
        <v>71</v>
      </c>
      <c r="F532" s="3">
        <f t="shared" si="4"/>
        <v>1</v>
      </c>
      <c r="G532" s="3" t="s">
        <v>94</v>
      </c>
      <c r="H532" s="3">
        <f t="shared" si="5"/>
        <v>1</v>
      </c>
      <c r="I532" s="3" t="s">
        <v>95</v>
      </c>
      <c r="M532" s="3" t="s">
        <v>97</v>
      </c>
      <c r="N532" s="3" t="s">
        <v>98</v>
      </c>
      <c r="O532" s="3" t="s">
        <v>78</v>
      </c>
      <c r="P532" s="3" t="s">
        <v>79</v>
      </c>
      <c r="Q532" s="3" t="s">
        <v>2719</v>
      </c>
      <c r="R532" s="3" t="s">
        <v>100</v>
      </c>
      <c r="S532" s="18">
        <v>0</v>
      </c>
      <c r="T532" s="18">
        <v>-2.4</v>
      </c>
      <c r="U532" s="18">
        <v>12.03</v>
      </c>
      <c r="V532" s="3" t="s">
        <v>73</v>
      </c>
      <c r="W532" s="3" t="s">
        <v>101</v>
      </c>
      <c r="Z532" s="3" t="s">
        <v>264</v>
      </c>
      <c r="AC532" s="3" t="s">
        <v>102</v>
      </c>
      <c r="AD532" s="6">
        <v>35.773009999999999</v>
      </c>
      <c r="AE532" s="6">
        <v>-86.282008000000005</v>
      </c>
      <c r="AH532" s="3">
        <v>2019</v>
      </c>
      <c r="AI532" s="3">
        <v>2</v>
      </c>
      <c r="AJ532" s="8">
        <v>25</v>
      </c>
      <c r="AK532" s="3">
        <v>2019</v>
      </c>
      <c r="AL532" s="3">
        <v>3</v>
      </c>
      <c r="AM532" s="3">
        <v>1</v>
      </c>
      <c r="AN532" s="29">
        <v>1</v>
      </c>
      <c r="AP532" s="3">
        <v>6000</v>
      </c>
      <c r="AR532" s="3">
        <v>6000</v>
      </c>
      <c r="AY532" s="3">
        <v>87.358006773884696</v>
      </c>
      <c r="AZ532" s="3" t="s">
        <v>82</v>
      </c>
      <c r="BB532" s="3" t="s">
        <v>2720</v>
      </c>
      <c r="BC532" s="3" t="s">
        <v>2721</v>
      </c>
      <c r="BD532" s="8">
        <v>4</v>
      </c>
    </row>
    <row r="533" spans="1:56" ht="14.25" customHeight="1" thickBot="1">
      <c r="A533" s="3" t="s">
        <v>2722</v>
      </c>
      <c r="B533" s="3" t="s">
        <v>2426</v>
      </c>
      <c r="C533" s="3" t="s">
        <v>1603</v>
      </c>
      <c r="E533" s="3" t="s">
        <v>71</v>
      </c>
      <c r="F533" s="3">
        <f t="shared" si="4"/>
        <v>2</v>
      </c>
      <c r="G533" s="3" t="s">
        <v>72</v>
      </c>
      <c r="H533" s="3">
        <f t="shared" si="5"/>
        <v>2</v>
      </c>
      <c r="I533" s="3" t="s">
        <v>73</v>
      </c>
      <c r="J533" s="3" t="s">
        <v>74</v>
      </c>
      <c r="K533" s="3" t="s">
        <v>807</v>
      </c>
      <c r="M533" s="3" t="s">
        <v>97</v>
      </c>
      <c r="N533" s="3" t="s">
        <v>98</v>
      </c>
      <c r="O533" s="3" t="s">
        <v>78</v>
      </c>
      <c r="P533" s="3" t="s">
        <v>79</v>
      </c>
      <c r="Q533" s="3" t="s">
        <v>2723</v>
      </c>
      <c r="S533" s="18">
        <v>43.8</v>
      </c>
      <c r="T533" s="18">
        <v>7.97</v>
      </c>
      <c r="U533" s="18">
        <v>18.48</v>
      </c>
      <c r="V533" s="3" t="s">
        <v>355</v>
      </c>
      <c r="W533" s="3" t="s">
        <v>95</v>
      </c>
      <c r="AC533" s="3" t="s">
        <v>81</v>
      </c>
      <c r="AD533" s="5">
        <v>36.1829836595793</v>
      </c>
      <c r="AE533" s="17">
        <v>-86.750217900308698</v>
      </c>
      <c r="AH533" s="3">
        <v>2019</v>
      </c>
      <c r="AI533" s="3">
        <v>2</v>
      </c>
      <c r="AJ533" s="8">
        <v>23</v>
      </c>
      <c r="AK533" s="3">
        <v>2019</v>
      </c>
      <c r="AL533" s="3">
        <v>2</v>
      </c>
      <c r="AM533" s="3">
        <v>25</v>
      </c>
      <c r="AN533" s="29">
        <v>2</v>
      </c>
      <c r="AO533" s="3">
        <v>12</v>
      </c>
      <c r="AR533" s="3">
        <v>12</v>
      </c>
      <c r="AW533" s="3">
        <v>1200000</v>
      </c>
      <c r="AX533" s="3">
        <v>1373658</v>
      </c>
      <c r="AY533" s="3">
        <v>87.358006773884696</v>
      </c>
      <c r="AZ533" s="3" t="s">
        <v>89</v>
      </c>
      <c r="BA533" s="3" t="s">
        <v>2724</v>
      </c>
      <c r="BC533" s="3" t="s">
        <v>2725</v>
      </c>
      <c r="BD533" s="8">
        <v>2</v>
      </c>
    </row>
    <row r="534" spans="1:56" ht="14.25" customHeight="1" thickBot="1">
      <c r="A534" s="3" t="s">
        <v>2726</v>
      </c>
      <c r="B534" s="3" t="s">
        <v>2426</v>
      </c>
      <c r="C534" s="3" t="s">
        <v>1598</v>
      </c>
      <c r="E534" s="3" t="s">
        <v>71</v>
      </c>
      <c r="F534" s="3">
        <f t="shared" si="4"/>
        <v>2</v>
      </c>
      <c r="G534" s="3" t="s">
        <v>72</v>
      </c>
      <c r="H534" s="3">
        <f t="shared" si="5"/>
        <v>2</v>
      </c>
      <c r="I534" s="3" t="s">
        <v>73</v>
      </c>
      <c r="J534" s="3" t="s">
        <v>74</v>
      </c>
      <c r="K534" s="3" t="s">
        <v>2727</v>
      </c>
      <c r="M534" s="3" t="s">
        <v>97</v>
      </c>
      <c r="N534" s="3" t="s">
        <v>98</v>
      </c>
      <c r="O534" s="3" t="s">
        <v>78</v>
      </c>
      <c r="P534" s="3" t="s">
        <v>79</v>
      </c>
      <c r="Q534" s="3" t="s">
        <v>2728</v>
      </c>
      <c r="S534" s="18">
        <v>6.72</v>
      </c>
      <c r="T534" s="18">
        <v>-2.46</v>
      </c>
      <c r="U534" s="18">
        <v>-0.79</v>
      </c>
      <c r="V534" s="3" t="s">
        <v>343</v>
      </c>
      <c r="W534" s="3" t="s">
        <v>2032</v>
      </c>
      <c r="AC534" s="3" t="s">
        <v>81</v>
      </c>
      <c r="AD534" s="6">
        <v>41.862120630671598</v>
      </c>
      <c r="AE534" s="23">
        <v>-88.243820967560595</v>
      </c>
      <c r="AH534" s="3">
        <v>2019</v>
      </c>
      <c r="AI534" s="3">
        <v>1</v>
      </c>
      <c r="AJ534" s="8">
        <v>18</v>
      </c>
      <c r="AK534" s="3">
        <v>2019</v>
      </c>
      <c r="AL534" s="3">
        <v>1</v>
      </c>
      <c r="AM534" s="3">
        <v>21</v>
      </c>
      <c r="AN534" s="29">
        <v>10</v>
      </c>
      <c r="AW534" s="3">
        <v>100000</v>
      </c>
      <c r="AX534" s="3">
        <v>114471</v>
      </c>
      <c r="AY534" s="3">
        <v>87.358006773884696</v>
      </c>
      <c r="AZ534" s="3" t="s">
        <v>89</v>
      </c>
      <c r="BA534" s="3" t="s">
        <v>2729</v>
      </c>
      <c r="BC534" s="3" t="s">
        <v>2730</v>
      </c>
      <c r="BD534" s="8">
        <v>0</v>
      </c>
    </row>
    <row r="535" spans="1:56" ht="14.25" customHeight="1" thickBot="1">
      <c r="A535" s="3" t="s">
        <v>2731</v>
      </c>
      <c r="B535" s="3" t="s">
        <v>2426</v>
      </c>
      <c r="C535" s="3" t="s">
        <v>2732</v>
      </c>
      <c r="E535" s="3" t="s">
        <v>71</v>
      </c>
      <c r="F535" s="3">
        <f t="shared" si="4"/>
        <v>1</v>
      </c>
      <c r="G535" s="3" t="s">
        <v>94</v>
      </c>
      <c r="H535" s="3">
        <f t="shared" si="5"/>
        <v>1</v>
      </c>
      <c r="I535" s="3" t="s">
        <v>95</v>
      </c>
      <c r="M535" s="3" t="s">
        <v>97</v>
      </c>
      <c r="N535" s="3" t="s">
        <v>98</v>
      </c>
      <c r="O535" s="3" t="s">
        <v>78</v>
      </c>
      <c r="P535" s="3" t="s">
        <v>79</v>
      </c>
      <c r="Q535" s="3" t="s">
        <v>2733</v>
      </c>
      <c r="S535" s="18">
        <v>47.7</v>
      </c>
      <c r="T535" s="18">
        <v>9.44</v>
      </c>
      <c r="U535" s="18">
        <v>12.32</v>
      </c>
      <c r="V535" s="3" t="s">
        <v>101</v>
      </c>
      <c r="AC535" s="3" t="s">
        <v>102</v>
      </c>
      <c r="AD535" s="6">
        <v>39.427630000000001</v>
      </c>
      <c r="AE535" s="6">
        <v>-121.945509</v>
      </c>
      <c r="AH535" s="3">
        <v>2019</v>
      </c>
      <c r="AI535" s="3">
        <v>2</v>
      </c>
      <c r="AJ535" s="8">
        <v>26</v>
      </c>
      <c r="AK535" s="3">
        <v>2019</v>
      </c>
      <c r="AL535" s="3">
        <v>3</v>
      </c>
      <c r="AM535" s="3">
        <v>4</v>
      </c>
      <c r="AN535" s="29">
        <v>1</v>
      </c>
      <c r="AP535" s="3">
        <v>8000</v>
      </c>
      <c r="AR535" s="3">
        <v>8000</v>
      </c>
      <c r="AY535" s="3">
        <v>87.358006773884696</v>
      </c>
      <c r="AZ535" s="3" t="s">
        <v>89</v>
      </c>
      <c r="BA535" s="3" t="s">
        <v>1189</v>
      </c>
      <c r="BC535" s="3" t="s">
        <v>1190</v>
      </c>
      <c r="BD535" s="8">
        <v>4</v>
      </c>
    </row>
    <row r="536" spans="1:56" ht="14.25" customHeight="1" thickBot="1">
      <c r="A536" s="3" t="s">
        <v>2734</v>
      </c>
      <c r="B536" s="3" t="s">
        <v>2426</v>
      </c>
      <c r="C536" s="3" t="s">
        <v>2422</v>
      </c>
      <c r="E536" s="3" t="s">
        <v>71</v>
      </c>
      <c r="F536" s="3">
        <f t="shared" si="4"/>
        <v>2</v>
      </c>
      <c r="G536" s="3" t="s">
        <v>72</v>
      </c>
      <c r="H536" s="3">
        <f t="shared" si="5"/>
        <v>2</v>
      </c>
      <c r="I536" s="3" t="s">
        <v>73</v>
      </c>
      <c r="J536" s="3" t="s">
        <v>74</v>
      </c>
      <c r="K536" s="3" t="s">
        <v>75</v>
      </c>
      <c r="M536" s="3" t="s">
        <v>97</v>
      </c>
      <c r="N536" s="3" t="s">
        <v>98</v>
      </c>
      <c r="O536" s="3" t="s">
        <v>78</v>
      </c>
      <c r="P536" s="3" t="s">
        <v>79</v>
      </c>
      <c r="Q536" s="3" t="s">
        <v>2735</v>
      </c>
      <c r="S536" s="18">
        <v>19.920000000000002</v>
      </c>
      <c r="T536" s="18">
        <v>8.83</v>
      </c>
      <c r="U536" s="18">
        <v>20.75</v>
      </c>
      <c r="V536" s="3" t="s">
        <v>355</v>
      </c>
      <c r="AB536" s="3">
        <v>160</v>
      </c>
      <c r="AC536" s="3" t="s">
        <v>81</v>
      </c>
      <c r="AD536" s="6">
        <v>31.033909999999999</v>
      </c>
      <c r="AE536" s="6">
        <v>-96.507974000000004</v>
      </c>
      <c r="AH536" s="3">
        <v>2019</v>
      </c>
      <c r="AI536" s="3">
        <v>4</v>
      </c>
      <c r="AJ536" s="8">
        <v>13</v>
      </c>
      <c r="AK536" s="3">
        <v>2019</v>
      </c>
      <c r="AL536" s="3">
        <v>4</v>
      </c>
      <c r="AM536" s="3">
        <v>14</v>
      </c>
      <c r="AN536" s="29">
        <v>8</v>
      </c>
      <c r="AO536" s="3">
        <v>12</v>
      </c>
      <c r="AQ536" s="3">
        <v>165</v>
      </c>
      <c r="AR536" s="3">
        <v>177</v>
      </c>
      <c r="AW536" s="3">
        <v>1300000</v>
      </c>
      <c r="AX536" s="3">
        <v>1488129</v>
      </c>
      <c r="AY536" s="3">
        <v>87.358006773884696</v>
      </c>
      <c r="AZ536" s="3" t="s">
        <v>206</v>
      </c>
      <c r="BA536" s="3" t="s">
        <v>2736</v>
      </c>
      <c r="BB536" s="3" t="s">
        <v>2737</v>
      </c>
      <c r="BC536" s="3" t="s">
        <v>2738</v>
      </c>
      <c r="BD536" s="8">
        <v>3</v>
      </c>
    </row>
    <row r="537" spans="1:56" ht="14.25" customHeight="1" thickBot="1">
      <c r="A537" s="3" t="s">
        <v>2739</v>
      </c>
      <c r="B537" s="3" t="s">
        <v>2426</v>
      </c>
      <c r="C537" s="3" t="s">
        <v>2740</v>
      </c>
      <c r="E537" s="3" t="s">
        <v>71</v>
      </c>
      <c r="F537" s="3">
        <f t="shared" si="4"/>
        <v>2</v>
      </c>
      <c r="G537" s="3" t="s">
        <v>72</v>
      </c>
      <c r="H537" s="3">
        <f t="shared" si="5"/>
        <v>2</v>
      </c>
      <c r="I537" s="3" t="s">
        <v>73</v>
      </c>
      <c r="J537" s="3" t="s">
        <v>74</v>
      </c>
      <c r="K537" s="3" t="s">
        <v>75</v>
      </c>
      <c r="M537" s="3" t="s">
        <v>97</v>
      </c>
      <c r="N537" s="3" t="s">
        <v>98</v>
      </c>
      <c r="O537" s="3" t="s">
        <v>78</v>
      </c>
      <c r="P537" s="3" t="s">
        <v>79</v>
      </c>
      <c r="Q537" s="3" t="s">
        <v>2741</v>
      </c>
      <c r="S537" s="18">
        <v>0</v>
      </c>
      <c r="T537" s="18">
        <v>14.71</v>
      </c>
      <c r="U537" s="18">
        <v>26.37</v>
      </c>
      <c r="V537" s="3" t="s">
        <v>355</v>
      </c>
      <c r="AB537" s="3">
        <v>150</v>
      </c>
      <c r="AC537" s="3" t="s">
        <v>81</v>
      </c>
      <c r="AD537" s="6">
        <v>38.577359999999999</v>
      </c>
      <c r="AE537" s="6">
        <v>-92.172426999999999</v>
      </c>
      <c r="AH537" s="3">
        <v>2019</v>
      </c>
      <c r="AI537" s="3">
        <v>5</v>
      </c>
      <c r="AJ537" s="8">
        <v>23</v>
      </c>
      <c r="AK537" s="3">
        <v>2019</v>
      </c>
      <c r="AL537" s="3">
        <v>5</v>
      </c>
      <c r="AM537" s="3">
        <v>31</v>
      </c>
      <c r="AN537" s="29">
        <v>3</v>
      </c>
      <c r="AO537" s="3">
        <v>150</v>
      </c>
      <c r="AR537" s="3">
        <v>150</v>
      </c>
      <c r="AY537" s="3">
        <v>87.358006773884696</v>
      </c>
      <c r="AZ537" s="3" t="s">
        <v>82</v>
      </c>
      <c r="BB537" s="3" t="s">
        <v>2742</v>
      </c>
      <c r="BC537" s="3" t="s">
        <v>2743</v>
      </c>
      <c r="BD537" s="8">
        <v>3</v>
      </c>
    </row>
    <row r="538" spans="1:56" ht="14.25" customHeight="1" thickBot="1">
      <c r="A538" s="3" t="s">
        <v>2744</v>
      </c>
      <c r="B538" s="3" t="s">
        <v>2426</v>
      </c>
      <c r="C538" s="3" t="s">
        <v>2745</v>
      </c>
      <c r="E538" s="3" t="s">
        <v>71</v>
      </c>
      <c r="F538" s="3">
        <f t="shared" si="4"/>
        <v>1</v>
      </c>
      <c r="G538" s="3" t="s">
        <v>94</v>
      </c>
      <c r="H538" s="3">
        <f t="shared" si="5"/>
        <v>1</v>
      </c>
      <c r="I538" s="3" t="s">
        <v>95</v>
      </c>
      <c r="J538" s="3" t="s">
        <v>96</v>
      </c>
      <c r="M538" s="3" t="s">
        <v>97</v>
      </c>
      <c r="N538" s="3" t="s">
        <v>98</v>
      </c>
      <c r="O538" s="3" t="s">
        <v>78</v>
      </c>
      <c r="P538" s="3" t="s">
        <v>79</v>
      </c>
      <c r="Q538" s="3" t="s">
        <v>2746</v>
      </c>
      <c r="R538" s="3" t="s">
        <v>2747</v>
      </c>
      <c r="S538" s="18">
        <v>0</v>
      </c>
      <c r="T538" s="18">
        <v>-3.13</v>
      </c>
      <c r="U538" s="18">
        <v>3.11</v>
      </c>
      <c r="V538" s="3" t="s">
        <v>73</v>
      </c>
      <c r="AC538" s="3" t="s">
        <v>102</v>
      </c>
      <c r="AD538" s="6">
        <v>41.737020000000001</v>
      </c>
      <c r="AE538" s="6">
        <v>-99.587382000000005</v>
      </c>
      <c r="AH538" s="3">
        <v>2019</v>
      </c>
      <c r="AI538" s="3">
        <v>3</v>
      </c>
      <c r="AJ538" s="8">
        <v>14</v>
      </c>
      <c r="AK538" s="3">
        <v>2019</v>
      </c>
      <c r="AL538" s="3">
        <v>3</v>
      </c>
      <c r="AM538" s="3">
        <v>31</v>
      </c>
      <c r="AN538" s="29">
        <v>5</v>
      </c>
      <c r="AP538" s="3">
        <v>2000</v>
      </c>
      <c r="AR538" s="3">
        <v>2000</v>
      </c>
      <c r="AU538" s="3">
        <v>2500000</v>
      </c>
      <c r="AV538" s="3">
        <v>2861787</v>
      </c>
      <c r="AW538" s="3">
        <v>10000000</v>
      </c>
      <c r="AX538" s="3">
        <v>11447148</v>
      </c>
      <c r="AY538" s="3">
        <v>87.358006773884696</v>
      </c>
      <c r="AZ538" s="3" t="s">
        <v>89</v>
      </c>
      <c r="BA538" s="3" t="s">
        <v>2748</v>
      </c>
      <c r="BC538" s="3" t="s">
        <v>2749</v>
      </c>
      <c r="BD538" s="8">
        <v>4</v>
      </c>
    </row>
    <row r="539" spans="1:56" ht="14.25" customHeight="1" thickBot="1">
      <c r="A539" s="3" t="s">
        <v>2750</v>
      </c>
      <c r="B539" s="3" t="s">
        <v>2426</v>
      </c>
      <c r="C539" s="3" t="s">
        <v>2218</v>
      </c>
      <c r="E539" s="3" t="s">
        <v>71</v>
      </c>
      <c r="F539" s="3">
        <f t="shared" si="4"/>
        <v>2</v>
      </c>
      <c r="G539" s="3" t="s">
        <v>72</v>
      </c>
      <c r="H539" s="3">
        <f t="shared" si="5"/>
        <v>2</v>
      </c>
      <c r="I539" s="3" t="s">
        <v>73</v>
      </c>
      <c r="J539" s="3" t="s">
        <v>74</v>
      </c>
      <c r="K539" s="3" t="s">
        <v>127</v>
      </c>
      <c r="M539" s="3" t="s">
        <v>97</v>
      </c>
      <c r="N539" s="3" t="s">
        <v>98</v>
      </c>
      <c r="O539" s="3" t="s">
        <v>78</v>
      </c>
      <c r="P539" s="3" t="s">
        <v>79</v>
      </c>
      <c r="Q539" s="3" t="s">
        <v>2751</v>
      </c>
      <c r="S539" s="18">
        <v>0</v>
      </c>
      <c r="T539" s="18">
        <v>-14.09</v>
      </c>
      <c r="U539" s="18">
        <v>-6.7</v>
      </c>
      <c r="V539" s="3" t="s">
        <v>114</v>
      </c>
      <c r="AC539" s="3" t="s">
        <v>81</v>
      </c>
      <c r="AD539" s="5">
        <v>42.364262334727002</v>
      </c>
      <c r="AE539" s="17">
        <v>-83.295232068354196</v>
      </c>
      <c r="AH539" s="3">
        <v>2019</v>
      </c>
      <c r="AI539" s="3">
        <v>1</v>
      </c>
      <c r="AJ539" s="8">
        <v>29</v>
      </c>
      <c r="AK539" s="3">
        <v>2019</v>
      </c>
      <c r="AL539" s="3">
        <v>1</v>
      </c>
      <c r="AM539" s="3">
        <v>31</v>
      </c>
      <c r="AN539" s="29">
        <v>22</v>
      </c>
      <c r="AY539" s="3">
        <v>87.358006773884696</v>
      </c>
      <c r="AZ539" s="3" t="s">
        <v>89</v>
      </c>
      <c r="BA539" s="3" t="s">
        <v>2752</v>
      </c>
      <c r="BC539" s="3" t="s">
        <v>2753</v>
      </c>
      <c r="BD539" s="8">
        <v>0</v>
      </c>
    </row>
    <row r="540" spans="1:56" ht="14.25" customHeight="1" thickBot="1">
      <c r="A540" s="3" t="s">
        <v>2754</v>
      </c>
      <c r="B540" s="3" t="s">
        <v>2426</v>
      </c>
      <c r="C540" s="3" t="s">
        <v>573</v>
      </c>
      <c r="E540" s="3" t="s">
        <v>71</v>
      </c>
      <c r="F540" s="3">
        <f t="shared" si="4"/>
        <v>2</v>
      </c>
      <c r="G540" s="3" t="s">
        <v>72</v>
      </c>
      <c r="H540" s="3">
        <f t="shared" si="5"/>
        <v>2</v>
      </c>
      <c r="I540" s="3" t="s">
        <v>73</v>
      </c>
      <c r="J540" s="3" t="s">
        <v>74</v>
      </c>
      <c r="K540" s="3" t="s">
        <v>807</v>
      </c>
      <c r="M540" s="3" t="s">
        <v>97</v>
      </c>
      <c r="N540" s="3" t="s">
        <v>98</v>
      </c>
      <c r="O540" s="3" t="s">
        <v>78</v>
      </c>
      <c r="P540" s="3" t="s">
        <v>79</v>
      </c>
      <c r="Q540" s="3" t="s">
        <v>2755</v>
      </c>
      <c r="S540" s="18">
        <v>21.24</v>
      </c>
      <c r="T540" s="18">
        <v>13.91</v>
      </c>
      <c r="U540" s="18">
        <v>20.239999999999998</v>
      </c>
      <c r="V540" s="3" t="s">
        <v>95</v>
      </c>
      <c r="Z540" s="3" t="s">
        <v>264</v>
      </c>
      <c r="AC540" s="3" t="s">
        <v>81</v>
      </c>
      <c r="AD540" s="6">
        <v>31.26389</v>
      </c>
      <c r="AE540" s="6">
        <v>-98.545612000000006</v>
      </c>
      <c r="AH540" s="3">
        <v>2019</v>
      </c>
      <c r="AI540" s="3">
        <v>4</v>
      </c>
      <c r="AJ540" s="8">
        <v>24</v>
      </c>
      <c r="AK540" s="3">
        <v>2019</v>
      </c>
      <c r="AL540" s="3">
        <v>4</v>
      </c>
      <c r="AM540" s="3">
        <v>26</v>
      </c>
      <c r="AN540" s="29">
        <v>5</v>
      </c>
      <c r="AY540" s="3">
        <v>87.358006773884696</v>
      </c>
      <c r="AZ540" s="3" t="s">
        <v>89</v>
      </c>
      <c r="BA540" s="3" t="s">
        <v>2756</v>
      </c>
      <c r="BC540" s="3" t="s">
        <v>2757</v>
      </c>
      <c r="BD540" s="8">
        <v>0</v>
      </c>
    </row>
    <row r="541" spans="1:56" ht="14.25" customHeight="1" thickBot="1">
      <c r="A541" s="3" t="s">
        <v>2758</v>
      </c>
      <c r="B541" s="3" t="s">
        <v>2426</v>
      </c>
      <c r="C541" s="3" t="s">
        <v>2759</v>
      </c>
      <c r="E541" s="3" t="s">
        <v>71</v>
      </c>
      <c r="F541" s="3">
        <f t="shared" si="4"/>
        <v>2</v>
      </c>
      <c r="G541" s="3" t="s">
        <v>72</v>
      </c>
      <c r="H541" s="3">
        <f t="shared" si="5"/>
        <v>2</v>
      </c>
      <c r="I541" s="3" t="s">
        <v>73</v>
      </c>
      <c r="J541" s="3" t="s">
        <v>74</v>
      </c>
      <c r="K541" s="3" t="s">
        <v>169</v>
      </c>
      <c r="M541" s="3" t="s">
        <v>76</v>
      </c>
      <c r="N541" s="3" t="s">
        <v>77</v>
      </c>
      <c r="O541" s="3" t="s">
        <v>78</v>
      </c>
      <c r="P541" s="3" t="s">
        <v>79</v>
      </c>
      <c r="Q541" s="3" t="s">
        <v>2760</v>
      </c>
      <c r="S541" s="18">
        <v>71.64</v>
      </c>
      <c r="T541" s="18">
        <v>10.02</v>
      </c>
      <c r="U541" s="18">
        <v>18.87</v>
      </c>
      <c r="V541" s="3" t="s">
        <v>95</v>
      </c>
      <c r="AB541" s="3">
        <v>100</v>
      </c>
      <c r="AC541" s="3" t="s">
        <v>81</v>
      </c>
      <c r="AD541" s="6">
        <v>45.318730000000002</v>
      </c>
      <c r="AE541" s="6">
        <v>-72.646306999999993</v>
      </c>
      <c r="AH541" s="3">
        <v>2019</v>
      </c>
      <c r="AI541" s="3">
        <v>10</v>
      </c>
      <c r="AJ541" s="8">
        <v>31</v>
      </c>
      <c r="AK541" s="3">
        <v>2019</v>
      </c>
      <c r="AL541" s="3">
        <v>11</v>
      </c>
      <c r="AM541" s="3">
        <v>2</v>
      </c>
      <c r="AN541" s="29">
        <v>1</v>
      </c>
      <c r="AW541" s="3">
        <v>275000</v>
      </c>
      <c r="AX541" s="3">
        <v>314797</v>
      </c>
      <c r="AY541" s="3">
        <v>87.358006773884696</v>
      </c>
      <c r="AZ541" s="3" t="s">
        <v>206</v>
      </c>
      <c r="BA541" s="3" t="s">
        <v>672</v>
      </c>
      <c r="BB541" s="3" t="s">
        <v>2761</v>
      </c>
      <c r="BC541" s="3" t="s">
        <v>2762</v>
      </c>
      <c r="BD541" s="8">
        <v>0</v>
      </c>
    </row>
    <row r="542" spans="1:56" ht="14.25" customHeight="1" thickBot="1">
      <c r="A542" s="3" t="s">
        <v>2763</v>
      </c>
      <c r="B542" s="3" t="s">
        <v>2426</v>
      </c>
      <c r="C542" s="3" t="s">
        <v>2764</v>
      </c>
      <c r="E542" s="3" t="s">
        <v>71</v>
      </c>
      <c r="F542" s="3">
        <f t="shared" si="4"/>
        <v>2</v>
      </c>
      <c r="G542" s="3" t="s">
        <v>72</v>
      </c>
      <c r="H542" s="3">
        <f t="shared" si="5"/>
        <v>2</v>
      </c>
      <c r="I542" s="3" t="s">
        <v>73</v>
      </c>
      <c r="J542" s="3" t="s">
        <v>74</v>
      </c>
      <c r="K542" s="3" t="s">
        <v>127</v>
      </c>
      <c r="M542" s="3" t="s">
        <v>97</v>
      </c>
      <c r="N542" s="3" t="s">
        <v>98</v>
      </c>
      <c r="O542" s="3" t="s">
        <v>78</v>
      </c>
      <c r="P542" s="3" t="s">
        <v>79</v>
      </c>
      <c r="Q542" s="3" t="s">
        <v>2765</v>
      </c>
      <c r="S542" s="18">
        <v>25.19</v>
      </c>
      <c r="T542" s="18">
        <v>-4.07</v>
      </c>
      <c r="U542" s="18">
        <v>2.5099999999999998</v>
      </c>
      <c r="V542" s="3" t="s">
        <v>343</v>
      </c>
      <c r="Z542" s="3" t="s">
        <v>264</v>
      </c>
      <c r="AC542" s="3" t="s">
        <v>81</v>
      </c>
      <c r="AD542" s="6">
        <v>38.760480000000001</v>
      </c>
      <c r="AE542" s="6">
        <v>-92.561786999999995</v>
      </c>
      <c r="AH542" s="3">
        <v>2019</v>
      </c>
      <c r="AI542" s="3">
        <v>1</v>
      </c>
      <c r="AJ542" s="8">
        <v>11</v>
      </c>
      <c r="AK542" s="3">
        <v>2019</v>
      </c>
      <c r="AL542" s="3">
        <v>1</v>
      </c>
      <c r="AM542" s="3">
        <v>15</v>
      </c>
      <c r="AN542" s="29">
        <v>13</v>
      </c>
      <c r="AO542" s="3">
        <v>57</v>
      </c>
      <c r="AR542" s="3">
        <v>57</v>
      </c>
      <c r="AY542" s="3">
        <v>87.358006773884696</v>
      </c>
      <c r="AZ542" s="3" t="s">
        <v>89</v>
      </c>
      <c r="BA542" s="3" t="s">
        <v>2766</v>
      </c>
      <c r="BC542" s="3" t="s">
        <v>2767</v>
      </c>
      <c r="BD542" s="8">
        <v>2</v>
      </c>
    </row>
    <row r="543" spans="1:56" ht="14.25" customHeight="1" thickBot="1">
      <c r="A543" s="3" t="s">
        <v>2768</v>
      </c>
      <c r="B543" s="3" t="s">
        <v>2426</v>
      </c>
      <c r="C543" s="3" t="s">
        <v>2769</v>
      </c>
      <c r="E543" s="3" t="s">
        <v>71</v>
      </c>
      <c r="F543" s="3">
        <f t="shared" si="4"/>
        <v>2</v>
      </c>
      <c r="G543" s="3" t="s">
        <v>72</v>
      </c>
      <c r="H543" s="3">
        <f t="shared" si="5"/>
        <v>2</v>
      </c>
      <c r="I543" s="3" t="s">
        <v>73</v>
      </c>
      <c r="J543" s="3" t="s">
        <v>74</v>
      </c>
      <c r="K543" s="3" t="s">
        <v>75</v>
      </c>
      <c r="M543" s="3" t="s">
        <v>97</v>
      </c>
      <c r="N543" s="3" t="s">
        <v>98</v>
      </c>
      <c r="O543" s="3" t="s">
        <v>78</v>
      </c>
      <c r="P543" s="3" t="s">
        <v>79</v>
      </c>
      <c r="Q543" s="3" t="s">
        <v>2770</v>
      </c>
      <c r="S543" s="18">
        <v>31.68</v>
      </c>
      <c r="T543" s="18">
        <v>4.9400000000000004</v>
      </c>
      <c r="U543" s="18">
        <v>14.06</v>
      </c>
      <c r="AC543" s="3" t="s">
        <v>81</v>
      </c>
      <c r="AD543" s="6">
        <v>33.258879999999998</v>
      </c>
      <c r="AE543" s="6">
        <v>-86.829533999999995</v>
      </c>
      <c r="AH543" s="3">
        <v>2019</v>
      </c>
      <c r="AI543" s="3">
        <v>3</v>
      </c>
      <c r="AJ543" s="8">
        <v>3</v>
      </c>
      <c r="AK543" s="3">
        <v>2019</v>
      </c>
      <c r="AL543" s="3">
        <v>3</v>
      </c>
      <c r="AM543" s="3">
        <v>4</v>
      </c>
      <c r="AN543" s="29">
        <v>28</v>
      </c>
      <c r="AO543" s="3">
        <v>90</v>
      </c>
      <c r="AR543" s="3">
        <v>90</v>
      </c>
      <c r="AU543" s="3">
        <v>140000</v>
      </c>
      <c r="AV543" s="3">
        <v>160260</v>
      </c>
      <c r="AW543" s="3">
        <v>190000</v>
      </c>
      <c r="AX543" s="3">
        <v>217496</v>
      </c>
      <c r="AY543" s="3">
        <v>87.358006773884696</v>
      </c>
      <c r="AZ543" s="3" t="s">
        <v>89</v>
      </c>
      <c r="BA543" s="3" t="s">
        <v>2771</v>
      </c>
      <c r="BC543" s="3" t="s">
        <v>2772</v>
      </c>
      <c r="BD543" s="8">
        <v>2</v>
      </c>
    </row>
    <row r="544" spans="1:56" ht="14.25" customHeight="1" thickBot="1">
      <c r="A544" s="3" t="s">
        <v>2773</v>
      </c>
      <c r="B544" s="3" t="s">
        <v>2426</v>
      </c>
      <c r="C544" s="3" t="s">
        <v>2774</v>
      </c>
      <c r="E544" s="3" t="s">
        <v>71</v>
      </c>
      <c r="F544" s="3">
        <f t="shared" si="4"/>
        <v>5</v>
      </c>
      <c r="G544" s="3" t="s">
        <v>175</v>
      </c>
      <c r="H544" s="3">
        <f t="shared" si="5"/>
        <v>6</v>
      </c>
      <c r="I544" s="3" t="s">
        <v>176</v>
      </c>
      <c r="J544" s="3" t="s">
        <v>177</v>
      </c>
      <c r="M544" s="3" t="s">
        <v>97</v>
      </c>
      <c r="N544" s="3" t="s">
        <v>98</v>
      </c>
      <c r="O544" s="3" t="s">
        <v>78</v>
      </c>
      <c r="P544" s="3" t="s">
        <v>79</v>
      </c>
      <c r="Q544" s="3" t="s">
        <v>2775</v>
      </c>
      <c r="S544" s="18">
        <v>0</v>
      </c>
      <c r="T544" s="18">
        <v>20.79</v>
      </c>
      <c r="U544" s="18">
        <v>36.07</v>
      </c>
      <c r="Z544" s="3" t="s">
        <v>264</v>
      </c>
      <c r="AB544" s="3">
        <v>7</v>
      </c>
      <c r="AC544" s="3" t="s">
        <v>179</v>
      </c>
      <c r="AD544" s="8">
        <v>35.770000000000003</v>
      </c>
      <c r="AE544" s="8">
        <v>-117.599</v>
      </c>
      <c r="AF544" s="3" t="s">
        <v>2776</v>
      </c>
      <c r="AH544" s="3">
        <v>2019</v>
      </c>
      <c r="AI544" s="3">
        <v>7</v>
      </c>
      <c r="AJ544" s="8">
        <v>5</v>
      </c>
      <c r="AK544" s="3">
        <v>2019</v>
      </c>
      <c r="AL544" s="3">
        <v>7</v>
      </c>
      <c r="AM544" s="3">
        <v>5</v>
      </c>
      <c r="AN544" s="29">
        <v>0</v>
      </c>
      <c r="AP544" s="3">
        <v>150</v>
      </c>
      <c r="AR544" s="3">
        <v>150</v>
      </c>
      <c r="AU544" s="3">
        <v>50000</v>
      </c>
      <c r="AV544" s="3">
        <v>57236</v>
      </c>
      <c r="AW544" s="3">
        <v>200000</v>
      </c>
      <c r="AX544" s="3">
        <v>228943</v>
      </c>
      <c r="AY544" s="3">
        <v>87.358006773884696</v>
      </c>
      <c r="AZ544" s="3" t="s">
        <v>82</v>
      </c>
      <c r="BB544" s="3" t="s">
        <v>2777</v>
      </c>
      <c r="BC544" s="3" t="s">
        <v>2778</v>
      </c>
      <c r="BD544" s="8">
        <v>3</v>
      </c>
    </row>
    <row r="545" spans="1:56" ht="14.25" customHeight="1" thickBot="1">
      <c r="A545" s="3" t="s">
        <v>2779</v>
      </c>
      <c r="B545" s="3" t="s">
        <v>2426</v>
      </c>
      <c r="C545" s="3" t="s">
        <v>370</v>
      </c>
      <c r="E545" s="3" t="s">
        <v>71</v>
      </c>
      <c r="F545" s="3">
        <f t="shared" si="4"/>
        <v>1</v>
      </c>
      <c r="G545" s="3" t="s">
        <v>94</v>
      </c>
      <c r="H545" s="3">
        <f t="shared" si="5"/>
        <v>1</v>
      </c>
      <c r="I545" s="3" t="s">
        <v>95</v>
      </c>
      <c r="M545" s="3" t="s">
        <v>97</v>
      </c>
      <c r="N545" s="3" t="s">
        <v>98</v>
      </c>
      <c r="O545" s="3" t="s">
        <v>78</v>
      </c>
      <c r="P545" s="3" t="s">
        <v>79</v>
      </c>
      <c r="Q545" s="3" t="s">
        <v>2780</v>
      </c>
      <c r="R545" s="3" t="s">
        <v>200</v>
      </c>
      <c r="S545" s="18">
        <v>0</v>
      </c>
      <c r="T545" s="18">
        <v>20.57</v>
      </c>
      <c r="U545" s="18">
        <v>28.75</v>
      </c>
      <c r="Z545" s="3" t="s">
        <v>264</v>
      </c>
      <c r="AC545" s="3" t="s">
        <v>102</v>
      </c>
      <c r="AD545" s="6">
        <v>35.473859468936901</v>
      </c>
      <c r="AE545" s="23">
        <v>-81.246664441226699</v>
      </c>
      <c r="AG545" s="3" t="s">
        <v>2781</v>
      </c>
      <c r="AH545" s="3">
        <v>2019</v>
      </c>
      <c r="AI545" s="3">
        <v>6</v>
      </c>
      <c r="AJ545" s="8">
        <v>6</v>
      </c>
      <c r="AK545" s="3">
        <v>2019</v>
      </c>
      <c r="AL545" s="3">
        <v>6</v>
      </c>
      <c r="AM545" s="3">
        <v>9</v>
      </c>
      <c r="AN545" s="29">
        <v>3</v>
      </c>
      <c r="AP545" s="3">
        <v>600</v>
      </c>
      <c r="AR545" s="3">
        <v>600</v>
      </c>
      <c r="AY545" s="3">
        <v>87.358006773884696</v>
      </c>
      <c r="AZ545" s="3" t="s">
        <v>82</v>
      </c>
      <c r="BB545" s="3" t="s">
        <v>2782</v>
      </c>
      <c r="BC545" s="3" t="s">
        <v>576</v>
      </c>
      <c r="BD545" s="8">
        <v>3</v>
      </c>
    </row>
    <row r="546" spans="1:56" ht="14.25" customHeight="1" thickBot="1">
      <c r="A546" s="3" t="s">
        <v>2783</v>
      </c>
      <c r="B546" s="3" t="s">
        <v>2784</v>
      </c>
      <c r="C546" s="3" t="s">
        <v>341</v>
      </c>
      <c r="E546" s="3" t="s">
        <v>71</v>
      </c>
      <c r="F546" s="3">
        <f t="shared" si="4"/>
        <v>2</v>
      </c>
      <c r="G546" s="3" t="s">
        <v>72</v>
      </c>
      <c r="H546" s="3">
        <f t="shared" si="5"/>
        <v>2</v>
      </c>
      <c r="I546" s="3" t="s">
        <v>73</v>
      </c>
      <c r="J546" s="3" t="s">
        <v>74</v>
      </c>
      <c r="K546" s="3" t="s">
        <v>169</v>
      </c>
      <c r="M546" s="3" t="s">
        <v>76</v>
      </c>
      <c r="N546" s="3" t="s">
        <v>77</v>
      </c>
      <c r="O546" s="3" t="s">
        <v>78</v>
      </c>
      <c r="P546" s="3" t="s">
        <v>79</v>
      </c>
      <c r="Q546" s="3" t="s">
        <v>2785</v>
      </c>
      <c r="S546" s="18">
        <v>34.14</v>
      </c>
      <c r="T546" s="18">
        <v>9.67</v>
      </c>
      <c r="U546" s="18">
        <v>21.92</v>
      </c>
      <c r="V546" s="3" t="s">
        <v>355</v>
      </c>
      <c r="AC546" s="3" t="s">
        <v>81</v>
      </c>
      <c r="AD546" s="6">
        <v>51.046100000000003</v>
      </c>
      <c r="AE546" s="6">
        <v>-114.065465</v>
      </c>
      <c r="AH546" s="3">
        <v>2020</v>
      </c>
      <c r="AI546" s="3">
        <v>6</v>
      </c>
      <c r="AJ546" s="8">
        <v>13</v>
      </c>
      <c r="AK546" s="3">
        <v>2020</v>
      </c>
      <c r="AL546" s="3">
        <v>6</v>
      </c>
      <c r="AM546" s="3">
        <v>14</v>
      </c>
      <c r="AN546" s="29">
        <v>0</v>
      </c>
      <c r="AP546" s="3">
        <v>60000</v>
      </c>
      <c r="AR546" s="3">
        <v>60000</v>
      </c>
      <c r="AU546" s="3">
        <v>900000</v>
      </c>
      <c r="AV546" s="3">
        <v>1017689</v>
      </c>
      <c r="AW546" s="3">
        <v>1200000</v>
      </c>
      <c r="AX546" s="3">
        <v>1356919</v>
      </c>
      <c r="AY546" s="3">
        <v>88.435640805933602</v>
      </c>
      <c r="AZ546" s="3" t="s">
        <v>82</v>
      </c>
      <c r="BB546" s="3" t="s">
        <v>1700</v>
      </c>
      <c r="BC546" s="3" t="s">
        <v>339</v>
      </c>
      <c r="BD546" s="8">
        <v>5</v>
      </c>
    </row>
    <row r="547" spans="1:56" ht="14.25" customHeight="1" thickBot="1">
      <c r="A547" s="3" t="s">
        <v>2786</v>
      </c>
      <c r="B547" s="3" t="s">
        <v>2784</v>
      </c>
      <c r="C547" s="3" t="s">
        <v>2787</v>
      </c>
      <c r="E547" s="3" t="s">
        <v>71</v>
      </c>
      <c r="F547" s="3">
        <f t="shared" si="4"/>
        <v>1</v>
      </c>
      <c r="G547" s="3" t="s">
        <v>94</v>
      </c>
      <c r="H547" s="3">
        <f t="shared" si="5"/>
        <v>1</v>
      </c>
      <c r="I547" s="3" t="s">
        <v>95</v>
      </c>
      <c r="J547" s="3" t="s">
        <v>96</v>
      </c>
      <c r="M547" s="3" t="s">
        <v>76</v>
      </c>
      <c r="N547" s="3" t="s">
        <v>77</v>
      </c>
      <c r="O547" s="3" t="s">
        <v>78</v>
      </c>
      <c r="P547" s="3" t="s">
        <v>79</v>
      </c>
      <c r="Q547" s="3" t="s">
        <v>2788</v>
      </c>
      <c r="R547" s="3" t="s">
        <v>2789</v>
      </c>
      <c r="S547" s="18">
        <v>0</v>
      </c>
      <c r="T547" s="18">
        <v>1.27</v>
      </c>
      <c r="U547" s="18">
        <v>15.39</v>
      </c>
      <c r="AC547" s="3" t="s">
        <v>102</v>
      </c>
      <c r="AD547" s="6">
        <v>51.046100000000003</v>
      </c>
      <c r="AE547" s="6">
        <v>-114.065465</v>
      </c>
      <c r="AG547" s="3" t="s">
        <v>2790</v>
      </c>
      <c r="AH547" s="3">
        <v>2020</v>
      </c>
      <c r="AI547" s="3">
        <v>4</v>
      </c>
      <c r="AJ547" s="8">
        <v>26</v>
      </c>
      <c r="AK547" s="3">
        <v>2020</v>
      </c>
      <c r="AL547" s="3">
        <v>4</v>
      </c>
      <c r="AM547" s="3">
        <v>30</v>
      </c>
      <c r="AN547" s="29">
        <v>1</v>
      </c>
      <c r="AP547" s="3">
        <v>12936</v>
      </c>
      <c r="AR547" s="3">
        <v>12936</v>
      </c>
      <c r="AW547" s="3">
        <v>1300000</v>
      </c>
      <c r="AX547" s="3">
        <v>1469996</v>
      </c>
      <c r="AY547" s="3">
        <v>88.435640805933602</v>
      </c>
      <c r="AZ547" s="3" t="s">
        <v>89</v>
      </c>
      <c r="BA547" s="3" t="s">
        <v>301</v>
      </c>
      <c r="BC547" s="3" t="s">
        <v>302</v>
      </c>
      <c r="BD547" s="8">
        <v>5</v>
      </c>
    </row>
    <row r="548" spans="1:56" ht="14.25" customHeight="1" thickBot="1">
      <c r="A548" s="3" t="s">
        <v>2791</v>
      </c>
      <c r="B548" s="3" t="s">
        <v>2792</v>
      </c>
      <c r="C548" s="3" t="s">
        <v>739</v>
      </c>
      <c r="E548" s="3" t="s">
        <v>71</v>
      </c>
      <c r="F548" s="3">
        <f t="shared" si="4"/>
        <v>1</v>
      </c>
      <c r="G548" s="3" t="s">
        <v>94</v>
      </c>
      <c r="H548" s="3">
        <f t="shared" si="5"/>
        <v>1</v>
      </c>
      <c r="I548" s="3" t="s">
        <v>95</v>
      </c>
      <c r="M548" s="3" t="s">
        <v>76</v>
      </c>
      <c r="N548" s="3" t="s">
        <v>77</v>
      </c>
      <c r="O548" s="3" t="s">
        <v>78</v>
      </c>
      <c r="P548" s="3" t="s">
        <v>79</v>
      </c>
      <c r="Q548" s="3" t="s">
        <v>2793</v>
      </c>
      <c r="R548" s="3" t="s">
        <v>200</v>
      </c>
      <c r="S548" s="18">
        <v>33.869999999999997</v>
      </c>
      <c r="T548" s="18">
        <v>4.41</v>
      </c>
      <c r="U548" s="18">
        <v>10.82</v>
      </c>
      <c r="V548" s="3" t="s">
        <v>101</v>
      </c>
      <c r="Z548" s="3" t="s">
        <v>264</v>
      </c>
      <c r="AC548" s="3" t="s">
        <v>102</v>
      </c>
      <c r="AD548" s="6">
        <v>49.572319999999998</v>
      </c>
      <c r="AE548" s="6">
        <v>-121.87589800000001</v>
      </c>
      <c r="AH548" s="3">
        <v>2021</v>
      </c>
      <c r="AI548" s="3">
        <v>11</v>
      </c>
      <c r="AJ548" s="8">
        <v>13</v>
      </c>
      <c r="AK548" s="3">
        <v>2021</v>
      </c>
      <c r="AL548" s="3">
        <v>11</v>
      </c>
      <c r="AM548" s="3">
        <v>16</v>
      </c>
      <c r="AN548" s="29">
        <v>4</v>
      </c>
      <c r="AP548" s="3">
        <v>15000</v>
      </c>
      <c r="AR548" s="3">
        <v>15000</v>
      </c>
      <c r="AW548" s="3">
        <v>2000000</v>
      </c>
      <c r="AX548" s="3">
        <v>2160056</v>
      </c>
      <c r="AY548" s="3">
        <v>92.590192930992899</v>
      </c>
      <c r="AZ548" s="3" t="s">
        <v>82</v>
      </c>
      <c r="BB548" s="3" t="s">
        <v>2794</v>
      </c>
      <c r="BC548" s="3" t="s">
        <v>2795</v>
      </c>
      <c r="BD548" s="8">
        <v>5</v>
      </c>
    </row>
    <row r="549" spans="1:56" ht="14.25" customHeight="1" thickBot="1">
      <c r="A549" s="3" t="s">
        <v>2796</v>
      </c>
      <c r="B549" s="3" t="s">
        <v>2792</v>
      </c>
      <c r="C549" s="3" t="s">
        <v>2797</v>
      </c>
      <c r="E549" s="3" t="s">
        <v>71</v>
      </c>
      <c r="F549" s="3">
        <f t="shared" si="4"/>
        <v>3</v>
      </c>
      <c r="G549" s="3" t="s">
        <v>119</v>
      </c>
      <c r="H549" s="3">
        <f t="shared" si="5"/>
        <v>3</v>
      </c>
      <c r="I549" s="3" t="s">
        <v>122</v>
      </c>
      <c r="M549" s="3" t="s">
        <v>76</v>
      </c>
      <c r="N549" s="3" t="s">
        <v>77</v>
      </c>
      <c r="O549" s="3" t="s">
        <v>78</v>
      </c>
      <c r="P549" s="3" t="s">
        <v>79</v>
      </c>
      <c r="Q549" s="3" t="s">
        <v>2798</v>
      </c>
      <c r="S549" s="18">
        <v>0</v>
      </c>
      <c r="T549" s="18">
        <v>21.8</v>
      </c>
      <c r="U549" s="18">
        <v>39.11</v>
      </c>
      <c r="V549" s="3" t="s">
        <v>220</v>
      </c>
      <c r="AC549" s="3" t="s">
        <v>102</v>
      </c>
      <c r="AD549" s="6">
        <v>50.23113</v>
      </c>
      <c r="AE549" s="6">
        <v>-121.58160100000001</v>
      </c>
      <c r="AH549" s="3">
        <v>2021</v>
      </c>
      <c r="AI549" s="3">
        <v>6</v>
      </c>
      <c r="AJ549" s="8">
        <v>30</v>
      </c>
      <c r="AK549" s="3">
        <v>2021</v>
      </c>
      <c r="AL549" s="3">
        <v>7</v>
      </c>
      <c r="AM549" s="3">
        <v>2</v>
      </c>
      <c r="AN549" s="29">
        <v>2</v>
      </c>
      <c r="AP549" s="3">
        <v>250</v>
      </c>
      <c r="AR549" s="3">
        <v>250</v>
      </c>
      <c r="AW549" s="3">
        <v>80912</v>
      </c>
      <c r="AX549" s="3">
        <v>87387</v>
      </c>
      <c r="AY549" s="3">
        <v>92.590192930992899</v>
      </c>
      <c r="AZ549" s="3" t="s">
        <v>89</v>
      </c>
      <c r="BA549" s="3" t="s">
        <v>2410</v>
      </c>
      <c r="BC549" s="3" t="s">
        <v>2411</v>
      </c>
      <c r="BD549" s="8">
        <v>3</v>
      </c>
    </row>
    <row r="550" spans="1:56" ht="14.25" customHeight="1" thickBot="1">
      <c r="A550" s="3" t="s">
        <v>2799</v>
      </c>
      <c r="B550" s="3" t="s">
        <v>2792</v>
      </c>
      <c r="C550" s="3" t="s">
        <v>675</v>
      </c>
      <c r="E550" s="3" t="s">
        <v>71</v>
      </c>
      <c r="F550" s="3">
        <f t="shared" si="4"/>
        <v>2</v>
      </c>
      <c r="G550" s="3" t="s">
        <v>72</v>
      </c>
      <c r="H550" s="3">
        <f t="shared" si="5"/>
        <v>4</v>
      </c>
      <c r="I550" s="3" t="s">
        <v>219</v>
      </c>
      <c r="J550" s="3" t="s">
        <v>220</v>
      </c>
      <c r="M550" s="3" t="s">
        <v>76</v>
      </c>
      <c r="N550" s="3" t="s">
        <v>77</v>
      </c>
      <c r="O550" s="3" t="s">
        <v>78</v>
      </c>
      <c r="P550" s="3" t="s">
        <v>79</v>
      </c>
      <c r="Q550" s="3" t="s">
        <v>2423</v>
      </c>
      <c r="S550" s="18">
        <v>0</v>
      </c>
      <c r="T550" s="18">
        <v>11.9</v>
      </c>
      <c r="U550" s="18">
        <v>33.53</v>
      </c>
      <c r="V550" s="3" t="s">
        <v>122</v>
      </c>
      <c r="AB550" s="3">
        <v>50</v>
      </c>
      <c r="AC550" s="3" t="s">
        <v>222</v>
      </c>
      <c r="AD550" s="6">
        <v>55.001249999999999</v>
      </c>
      <c r="AE550" s="6">
        <v>-125.002441</v>
      </c>
      <c r="AH550" s="3">
        <v>2021</v>
      </c>
      <c r="AI550" s="3">
        <v>6</v>
      </c>
      <c r="AJ550" s="8">
        <v>26</v>
      </c>
      <c r="AK550" s="3">
        <v>2021</v>
      </c>
      <c r="AL550" s="3">
        <v>7</v>
      </c>
      <c r="AN550" s="29">
        <v>815</v>
      </c>
      <c r="AY550" s="3">
        <v>92.590192930992899</v>
      </c>
      <c r="AZ550" s="3" t="s">
        <v>89</v>
      </c>
      <c r="BA550" s="3" t="s">
        <v>2410</v>
      </c>
      <c r="BC550" s="3" t="s">
        <v>2411</v>
      </c>
      <c r="BD550" s="8">
        <v>0</v>
      </c>
    </row>
    <row r="551" spans="1:56" ht="14.25" customHeight="1" thickBot="1">
      <c r="A551" s="3" t="s">
        <v>2800</v>
      </c>
      <c r="B551" s="3" t="s">
        <v>2792</v>
      </c>
      <c r="C551" s="3" t="s">
        <v>2801</v>
      </c>
      <c r="E551" s="3" t="s">
        <v>71</v>
      </c>
      <c r="F551" s="3">
        <f t="shared" si="4"/>
        <v>2</v>
      </c>
      <c r="G551" s="3" t="s">
        <v>72</v>
      </c>
      <c r="H551" s="3">
        <f t="shared" si="5"/>
        <v>2</v>
      </c>
      <c r="I551" s="3" t="s">
        <v>73</v>
      </c>
      <c r="J551" s="3" t="s">
        <v>74</v>
      </c>
      <c r="K551" s="3" t="s">
        <v>75</v>
      </c>
      <c r="M551" s="3" t="s">
        <v>76</v>
      </c>
      <c r="N551" s="3" t="s">
        <v>77</v>
      </c>
      <c r="O551" s="3" t="s">
        <v>78</v>
      </c>
      <c r="P551" s="3" t="s">
        <v>79</v>
      </c>
      <c r="Q551" s="3" t="s">
        <v>2802</v>
      </c>
      <c r="S551" s="18">
        <v>3.76</v>
      </c>
      <c r="T551" s="18">
        <v>17.5</v>
      </c>
      <c r="U551" s="18">
        <v>29.4</v>
      </c>
      <c r="AC551" s="3" t="s">
        <v>81</v>
      </c>
      <c r="AD551" s="5">
        <v>45.497524731869497</v>
      </c>
      <c r="AE551" s="17">
        <v>-73.601332091627697</v>
      </c>
      <c r="AH551" s="3">
        <v>2021</v>
      </c>
      <c r="AI551" s="3">
        <v>6</v>
      </c>
      <c r="AJ551" s="8">
        <v>21</v>
      </c>
      <c r="AK551" s="3">
        <v>2021</v>
      </c>
      <c r="AL551" s="3">
        <v>6</v>
      </c>
      <c r="AM551" s="3">
        <v>22</v>
      </c>
      <c r="AN551" s="29">
        <v>1</v>
      </c>
      <c r="AO551" s="3">
        <v>2</v>
      </c>
      <c r="AP551" s="3">
        <v>300</v>
      </c>
      <c r="AR551" s="3">
        <v>302</v>
      </c>
      <c r="AW551" s="3">
        <v>25000</v>
      </c>
      <c r="AX551" s="3">
        <v>27001</v>
      </c>
      <c r="AY551" s="3">
        <v>92.590192930992899</v>
      </c>
      <c r="AZ551" s="3" t="s">
        <v>89</v>
      </c>
      <c r="BA551" s="3" t="s">
        <v>90</v>
      </c>
      <c r="BC551" s="3" t="s">
        <v>91</v>
      </c>
      <c r="BD551" s="8">
        <v>3</v>
      </c>
    </row>
    <row r="552" spans="1:56" ht="14.25" customHeight="1" thickBot="1">
      <c r="A552" s="3" t="s">
        <v>2803</v>
      </c>
      <c r="B552" s="3" t="s">
        <v>2426</v>
      </c>
      <c r="C552" s="3" t="s">
        <v>2804</v>
      </c>
      <c r="E552" s="3" t="s">
        <v>71</v>
      </c>
      <c r="F552" s="3">
        <f t="shared" si="4"/>
        <v>2</v>
      </c>
      <c r="G552" s="3" t="s">
        <v>72</v>
      </c>
      <c r="H552" s="3">
        <f t="shared" si="5"/>
        <v>2</v>
      </c>
      <c r="I552" s="3" t="s">
        <v>73</v>
      </c>
      <c r="J552" s="3" t="s">
        <v>74</v>
      </c>
      <c r="K552" s="3" t="s">
        <v>169</v>
      </c>
      <c r="M552" s="3" t="s">
        <v>97</v>
      </c>
      <c r="N552" s="3" t="s">
        <v>98</v>
      </c>
      <c r="O552" s="3" t="s">
        <v>78</v>
      </c>
      <c r="P552" s="3" t="s">
        <v>79</v>
      </c>
      <c r="Q552" s="3" t="s">
        <v>2805</v>
      </c>
      <c r="S552" s="18">
        <v>3.38</v>
      </c>
      <c r="T552" s="18">
        <v>-5.83</v>
      </c>
      <c r="U552" s="18">
        <v>-3.15</v>
      </c>
      <c r="V552" s="3" t="s">
        <v>355</v>
      </c>
      <c r="AB552" s="3">
        <v>260</v>
      </c>
      <c r="AC552" s="3" t="s">
        <v>81</v>
      </c>
      <c r="AD552" s="6">
        <v>38.760480000000001</v>
      </c>
      <c r="AE552" s="6">
        <v>-92.561786999999995</v>
      </c>
      <c r="AH552" s="3">
        <v>2019</v>
      </c>
      <c r="AI552" s="3">
        <v>12</v>
      </c>
      <c r="AJ552" s="8">
        <v>16</v>
      </c>
      <c r="AK552" s="3">
        <v>2019</v>
      </c>
      <c r="AL552" s="3">
        <v>12</v>
      </c>
      <c r="AM552" s="3">
        <v>18</v>
      </c>
      <c r="AN552" s="29">
        <v>18</v>
      </c>
      <c r="AU552" s="3">
        <v>175000</v>
      </c>
      <c r="AV552" s="3">
        <v>200325</v>
      </c>
      <c r="AW552" s="3">
        <v>235000</v>
      </c>
      <c r="AX552" s="3">
        <v>269008</v>
      </c>
      <c r="AY552" s="3">
        <v>87.358006773884696</v>
      </c>
      <c r="AZ552" s="3" t="s">
        <v>89</v>
      </c>
      <c r="BA552" s="3" t="s">
        <v>2806</v>
      </c>
      <c r="BC552" s="3" t="s">
        <v>2807</v>
      </c>
      <c r="BD552" s="8">
        <v>0</v>
      </c>
    </row>
    <row r="553" spans="1:56" ht="14.25" customHeight="1" thickBot="1">
      <c r="A553" s="3" t="s">
        <v>2808</v>
      </c>
      <c r="B553" s="3" t="s">
        <v>2426</v>
      </c>
      <c r="C553" s="3" t="s">
        <v>2809</v>
      </c>
      <c r="E553" s="3" t="s">
        <v>71</v>
      </c>
      <c r="F553" s="3">
        <f t="shared" si="4"/>
        <v>2</v>
      </c>
      <c r="G553" s="3" t="s">
        <v>72</v>
      </c>
      <c r="H553" s="3">
        <f t="shared" si="5"/>
        <v>2</v>
      </c>
      <c r="I553" s="3" t="s">
        <v>73</v>
      </c>
      <c r="J553" s="3" t="s">
        <v>74</v>
      </c>
      <c r="K553" s="3" t="s">
        <v>127</v>
      </c>
      <c r="M553" s="3" t="s">
        <v>97</v>
      </c>
      <c r="N553" s="3" t="s">
        <v>98</v>
      </c>
      <c r="O553" s="3" t="s">
        <v>78</v>
      </c>
      <c r="P553" s="3" t="s">
        <v>79</v>
      </c>
      <c r="Q553" s="3" t="s">
        <v>2810</v>
      </c>
      <c r="S553" s="18">
        <v>0</v>
      </c>
      <c r="T553" s="18">
        <v>-2.12</v>
      </c>
      <c r="U553" s="18">
        <v>3.33</v>
      </c>
      <c r="V553" s="3" t="s">
        <v>114</v>
      </c>
      <c r="AC553" s="3" t="s">
        <v>81</v>
      </c>
      <c r="AD553" s="5">
        <v>47.056856176227299</v>
      </c>
      <c r="AE553" s="17">
        <v>-119.895321258463</v>
      </c>
      <c r="AH553" s="3">
        <v>2019</v>
      </c>
      <c r="AI553" s="3">
        <v>11</v>
      </c>
      <c r="AJ553" s="8">
        <v>27</v>
      </c>
      <c r="AK553" s="3">
        <v>2019</v>
      </c>
      <c r="AL553" s="3">
        <v>12</v>
      </c>
      <c r="AM553" s="3">
        <v>3</v>
      </c>
      <c r="AN553" s="29">
        <v>10</v>
      </c>
      <c r="AY553" s="3">
        <v>87.358006773884696</v>
      </c>
      <c r="AZ553" s="3" t="s">
        <v>89</v>
      </c>
      <c r="BA553" s="3" t="s">
        <v>2811</v>
      </c>
      <c r="BC553" s="3" t="s">
        <v>2812</v>
      </c>
      <c r="BD553" s="8">
        <v>0</v>
      </c>
    </row>
    <row r="554" spans="1:56" ht="14.25" customHeight="1" thickBot="1">
      <c r="A554" s="3" t="s">
        <v>2813</v>
      </c>
      <c r="B554" s="3" t="s">
        <v>2426</v>
      </c>
      <c r="C554" s="3" t="s">
        <v>2814</v>
      </c>
      <c r="D554" s="3" t="s">
        <v>2815</v>
      </c>
      <c r="E554" s="3" t="s">
        <v>71</v>
      </c>
      <c r="F554" s="3">
        <f t="shared" si="4"/>
        <v>2</v>
      </c>
      <c r="G554" s="3" t="s">
        <v>72</v>
      </c>
      <c r="H554" s="3">
        <f t="shared" si="5"/>
        <v>2</v>
      </c>
      <c r="I554" s="3" t="s">
        <v>73</v>
      </c>
      <c r="J554" s="3" t="s">
        <v>212</v>
      </c>
      <c r="L554" s="3" t="s">
        <v>2816</v>
      </c>
      <c r="M554" s="3" t="s">
        <v>97</v>
      </c>
      <c r="N554" s="3" t="s">
        <v>98</v>
      </c>
      <c r="O554" s="3" t="s">
        <v>78</v>
      </c>
      <c r="P554" s="3" t="s">
        <v>79</v>
      </c>
      <c r="Q554" s="3" t="s">
        <v>2817</v>
      </c>
      <c r="S554" s="18">
        <v>5.42</v>
      </c>
      <c r="T554" s="18">
        <v>24.07</v>
      </c>
      <c r="U554" s="18">
        <v>32.299999999999997</v>
      </c>
      <c r="V554" s="3" t="s">
        <v>95</v>
      </c>
      <c r="AB554" s="3">
        <v>150</v>
      </c>
      <c r="AC554" s="3" t="s">
        <v>81</v>
      </c>
      <c r="AD554" s="6">
        <v>27.756769999999999</v>
      </c>
      <c r="AE554" s="6">
        <v>-81.463982999999999</v>
      </c>
      <c r="AH554" s="3">
        <v>2019</v>
      </c>
      <c r="AI554" s="3">
        <v>8</v>
      </c>
      <c r="AJ554" s="8">
        <v>28</v>
      </c>
      <c r="AK554" s="3">
        <v>2019</v>
      </c>
      <c r="AL554" s="3">
        <v>9</v>
      </c>
      <c r="AM554" s="3">
        <v>6</v>
      </c>
      <c r="AN554" s="29">
        <v>10</v>
      </c>
      <c r="AW554" s="3">
        <v>1600000</v>
      </c>
      <c r="AX554" s="3">
        <v>1831544</v>
      </c>
      <c r="AY554" s="3">
        <v>87.358006773884696</v>
      </c>
      <c r="AZ554" s="3" t="s">
        <v>89</v>
      </c>
      <c r="BA554" s="3" t="s">
        <v>2478</v>
      </c>
      <c r="BC554" s="3" t="s">
        <v>2479</v>
      </c>
      <c r="BD554" s="8">
        <v>0</v>
      </c>
    </row>
    <row r="555" spans="1:56" ht="14.25" customHeight="1" thickBot="1">
      <c r="A555" s="3" t="s">
        <v>2818</v>
      </c>
      <c r="B555" s="3" t="s">
        <v>2426</v>
      </c>
      <c r="C555" s="3" t="s">
        <v>650</v>
      </c>
      <c r="E555" s="3" t="s">
        <v>71</v>
      </c>
      <c r="F555" s="3">
        <f t="shared" si="4"/>
        <v>2</v>
      </c>
      <c r="G555" s="3" t="s">
        <v>72</v>
      </c>
      <c r="H555" s="3">
        <f t="shared" si="5"/>
        <v>2</v>
      </c>
      <c r="I555" s="3" t="s">
        <v>73</v>
      </c>
      <c r="J555" s="3" t="s">
        <v>212</v>
      </c>
      <c r="L555" s="3" t="s">
        <v>2819</v>
      </c>
      <c r="M555" s="3" t="s">
        <v>97</v>
      </c>
      <c r="N555" s="3" t="s">
        <v>98</v>
      </c>
      <c r="O555" s="3" t="s">
        <v>78</v>
      </c>
      <c r="P555" s="3" t="s">
        <v>79</v>
      </c>
      <c r="Q555" s="3" t="s">
        <v>2820</v>
      </c>
      <c r="S555" s="18">
        <v>0</v>
      </c>
      <c r="T555" s="18">
        <v>19.68</v>
      </c>
      <c r="U555" s="18">
        <v>34.270000000000003</v>
      </c>
      <c r="V555" s="3" t="s">
        <v>95</v>
      </c>
      <c r="AB555" s="3">
        <v>65</v>
      </c>
      <c r="AC555" s="3" t="s">
        <v>81</v>
      </c>
      <c r="AD555" s="6">
        <v>31.26389</v>
      </c>
      <c r="AE555" s="6">
        <v>-98.545612000000006</v>
      </c>
      <c r="AH555" s="3">
        <v>2019</v>
      </c>
      <c r="AI555" s="3">
        <v>9</v>
      </c>
      <c r="AJ555" s="8">
        <v>17</v>
      </c>
      <c r="AK555" s="3">
        <v>2019</v>
      </c>
      <c r="AL555" s="3">
        <v>9</v>
      </c>
      <c r="AM555" s="3">
        <v>21</v>
      </c>
      <c r="AN555" s="29">
        <v>5</v>
      </c>
      <c r="AP555" s="3">
        <v>1000</v>
      </c>
      <c r="AR555" s="3">
        <v>1000</v>
      </c>
      <c r="AU555" s="3">
        <v>1200000</v>
      </c>
      <c r="AV555" s="3">
        <v>1373658</v>
      </c>
      <c r="AW555" s="3">
        <v>3500000</v>
      </c>
      <c r="AX555" s="3">
        <v>4006502</v>
      </c>
      <c r="AY555" s="3">
        <v>87.358006773884696</v>
      </c>
      <c r="AZ555" s="3" t="s">
        <v>89</v>
      </c>
      <c r="BA555" s="3" t="s">
        <v>446</v>
      </c>
      <c r="BC555" s="3" t="s">
        <v>447</v>
      </c>
      <c r="BD555" s="8">
        <v>4</v>
      </c>
    </row>
    <row r="556" spans="1:56" ht="14.25" customHeight="1" thickBot="1">
      <c r="A556" s="3" t="s">
        <v>2821</v>
      </c>
      <c r="B556" s="3" t="s">
        <v>2426</v>
      </c>
      <c r="C556" s="3" t="s">
        <v>2822</v>
      </c>
      <c r="E556" s="3" t="s">
        <v>71</v>
      </c>
      <c r="F556" s="3">
        <f t="shared" si="4"/>
        <v>2</v>
      </c>
      <c r="G556" s="3" t="s">
        <v>72</v>
      </c>
      <c r="H556" s="3">
        <f t="shared" si="5"/>
        <v>2</v>
      </c>
      <c r="I556" s="3" t="s">
        <v>73</v>
      </c>
      <c r="J556" s="3" t="s">
        <v>74</v>
      </c>
      <c r="K556" s="3" t="s">
        <v>169</v>
      </c>
      <c r="M556" s="3" t="s">
        <v>97</v>
      </c>
      <c r="N556" s="3" t="s">
        <v>98</v>
      </c>
      <c r="O556" s="3" t="s">
        <v>78</v>
      </c>
      <c r="P556" s="3" t="s">
        <v>79</v>
      </c>
      <c r="Q556" s="3" t="s">
        <v>2823</v>
      </c>
      <c r="S556" s="18">
        <v>7.05</v>
      </c>
      <c r="T556" s="18">
        <v>11.61</v>
      </c>
      <c r="U556" s="18">
        <v>31.73</v>
      </c>
      <c r="Z556" s="3" t="s">
        <v>264</v>
      </c>
      <c r="AB556" s="3">
        <v>220</v>
      </c>
      <c r="AC556" s="3" t="s">
        <v>81</v>
      </c>
      <c r="AD556" s="6">
        <v>31.26389</v>
      </c>
      <c r="AE556" s="6">
        <v>-98.545612000000006</v>
      </c>
      <c r="AH556" s="3">
        <v>2019</v>
      </c>
      <c r="AI556" s="3">
        <v>10</v>
      </c>
      <c r="AJ556" s="8">
        <v>20</v>
      </c>
      <c r="AK556" s="3">
        <v>2019</v>
      </c>
      <c r="AL556" s="3">
        <v>10</v>
      </c>
      <c r="AM556" s="3">
        <v>21</v>
      </c>
      <c r="AN556" s="29">
        <v>4</v>
      </c>
      <c r="AU556" s="3">
        <v>2000000</v>
      </c>
      <c r="AV556" s="3">
        <v>2289430</v>
      </c>
      <c r="AW556" s="3">
        <v>2600000</v>
      </c>
      <c r="AX556" s="3">
        <v>2976258</v>
      </c>
      <c r="AY556" s="3">
        <v>87.358006773884696</v>
      </c>
      <c r="AZ556" s="3" t="s">
        <v>89</v>
      </c>
      <c r="BA556" s="3" t="s">
        <v>2824</v>
      </c>
      <c r="BC556" s="3" t="s">
        <v>2825</v>
      </c>
      <c r="BD556" s="8">
        <v>0</v>
      </c>
    </row>
    <row r="557" spans="1:56" ht="14.25" customHeight="1" thickBot="1">
      <c r="A557" s="3" t="s">
        <v>2826</v>
      </c>
      <c r="B557" s="3" t="s">
        <v>2426</v>
      </c>
      <c r="C557" s="3" t="s">
        <v>2827</v>
      </c>
      <c r="E557" s="3" t="s">
        <v>71</v>
      </c>
      <c r="F557" s="3">
        <f t="shared" si="4"/>
        <v>2</v>
      </c>
      <c r="G557" s="3" t="s">
        <v>72</v>
      </c>
      <c r="H557" s="3">
        <f t="shared" si="5"/>
        <v>2</v>
      </c>
      <c r="I557" s="3" t="s">
        <v>73</v>
      </c>
      <c r="J557" s="3" t="s">
        <v>212</v>
      </c>
      <c r="L557" s="3" t="s">
        <v>2828</v>
      </c>
      <c r="M557" s="3" t="s">
        <v>97</v>
      </c>
      <c r="N557" s="3" t="s">
        <v>98</v>
      </c>
      <c r="O557" s="3" t="s">
        <v>78</v>
      </c>
      <c r="P557" s="3" t="s">
        <v>79</v>
      </c>
      <c r="Q557" s="3" t="s">
        <v>2829</v>
      </c>
      <c r="S557" s="18">
        <v>55.44</v>
      </c>
      <c r="T557" s="18">
        <v>21.72</v>
      </c>
      <c r="U557" s="18">
        <v>27.15</v>
      </c>
      <c r="AC557" s="3" t="s">
        <v>81</v>
      </c>
      <c r="AD557" s="6">
        <v>30.87039</v>
      </c>
      <c r="AE557" s="6">
        <v>-92.007126</v>
      </c>
      <c r="AH557" s="3">
        <v>2019</v>
      </c>
      <c r="AI557" s="3">
        <v>7</v>
      </c>
      <c r="AJ557" s="8">
        <v>13</v>
      </c>
      <c r="AK557" s="3">
        <v>2019</v>
      </c>
      <c r="AL557" s="3">
        <v>7</v>
      </c>
      <c r="AM557" s="3">
        <v>15</v>
      </c>
      <c r="AN557" s="29">
        <v>1</v>
      </c>
      <c r="AU557" s="3">
        <v>300000</v>
      </c>
      <c r="AV557" s="3">
        <v>343414</v>
      </c>
      <c r="AW557" s="3">
        <v>600000</v>
      </c>
      <c r="AX557" s="3">
        <v>686829</v>
      </c>
      <c r="AY557" s="3">
        <v>87.358006773884696</v>
      </c>
      <c r="AZ557" s="3" t="s">
        <v>89</v>
      </c>
      <c r="BA557" s="3" t="s">
        <v>2830</v>
      </c>
      <c r="BC557" s="3" t="s">
        <v>2831</v>
      </c>
      <c r="BD557" s="8">
        <v>0</v>
      </c>
    </row>
    <row r="558" spans="1:56" ht="14.25" customHeight="1" thickBot="1">
      <c r="A558" s="3" t="s">
        <v>2832</v>
      </c>
      <c r="B558" s="3" t="s">
        <v>2426</v>
      </c>
      <c r="C558" s="3" t="s">
        <v>2833</v>
      </c>
      <c r="E558" s="3" t="s">
        <v>71</v>
      </c>
      <c r="F558" s="3">
        <f t="shared" si="4"/>
        <v>3</v>
      </c>
      <c r="G558" s="3" t="s">
        <v>119</v>
      </c>
      <c r="H558" s="3">
        <f t="shared" si="5"/>
        <v>3</v>
      </c>
      <c r="I558" s="3" t="s">
        <v>122</v>
      </c>
      <c r="J558" s="3" t="s">
        <v>227</v>
      </c>
      <c r="L558" s="3" t="s">
        <v>2834</v>
      </c>
      <c r="M558" s="3" t="s">
        <v>97</v>
      </c>
      <c r="N558" s="3" t="s">
        <v>98</v>
      </c>
      <c r="O558" s="3" t="s">
        <v>78</v>
      </c>
      <c r="P558" s="3" t="s">
        <v>79</v>
      </c>
      <c r="Q558" s="3" t="s">
        <v>2835</v>
      </c>
      <c r="S558" s="18">
        <v>0</v>
      </c>
      <c r="T558" s="16">
        <v>16.23</v>
      </c>
      <c r="U558" s="18">
        <v>28.52</v>
      </c>
      <c r="AC558" s="3" t="s">
        <v>102</v>
      </c>
      <c r="AD558" s="6">
        <v>34.053690000000003</v>
      </c>
      <c r="AE558" s="6">
        <v>-118.242766</v>
      </c>
      <c r="AH558" s="3">
        <v>2019</v>
      </c>
      <c r="AI558" s="3">
        <v>10</v>
      </c>
      <c r="AJ558" s="8">
        <v>10</v>
      </c>
      <c r="AK558" s="3">
        <v>2019</v>
      </c>
      <c r="AL558" s="3">
        <v>10</v>
      </c>
      <c r="AM558" s="3">
        <v>17</v>
      </c>
      <c r="AN558" s="29">
        <v>3</v>
      </c>
      <c r="AO558" s="3">
        <v>12</v>
      </c>
      <c r="AP558" s="3">
        <v>312</v>
      </c>
      <c r="AQ558" s="3">
        <v>279</v>
      </c>
      <c r="AR558" s="3">
        <v>603</v>
      </c>
      <c r="AW558" s="3">
        <v>325000</v>
      </c>
      <c r="AX558" s="3">
        <v>372032</v>
      </c>
      <c r="AY558" s="3">
        <v>87.358006773884696</v>
      </c>
      <c r="AZ558" s="3" t="s">
        <v>82</v>
      </c>
      <c r="BB558" s="3" t="s">
        <v>2836</v>
      </c>
      <c r="BC558" s="3" t="s">
        <v>2837</v>
      </c>
      <c r="BD558" s="8">
        <v>3</v>
      </c>
    </row>
    <row r="559" spans="1:56" ht="14.25" customHeight="1" thickBot="1">
      <c r="A559" s="3" t="s">
        <v>2838</v>
      </c>
      <c r="B559" s="3" t="s">
        <v>2426</v>
      </c>
      <c r="C559" s="3" t="s">
        <v>2839</v>
      </c>
      <c r="E559" s="3" t="s">
        <v>71</v>
      </c>
      <c r="F559" s="3">
        <f t="shared" si="4"/>
        <v>3</v>
      </c>
      <c r="G559" s="3" t="s">
        <v>119</v>
      </c>
      <c r="H559" s="3">
        <f t="shared" si="5"/>
        <v>3</v>
      </c>
      <c r="I559" s="3" t="s">
        <v>122</v>
      </c>
      <c r="J559" s="3" t="s">
        <v>227</v>
      </c>
      <c r="L559" s="3" t="s">
        <v>2840</v>
      </c>
      <c r="M559" s="3" t="s">
        <v>97</v>
      </c>
      <c r="N559" s="3" t="s">
        <v>98</v>
      </c>
      <c r="O559" s="3" t="s">
        <v>78</v>
      </c>
      <c r="P559" s="3" t="s">
        <v>79</v>
      </c>
      <c r="Q559" s="3" t="s">
        <v>2841</v>
      </c>
      <c r="S559" s="18">
        <v>0</v>
      </c>
      <c r="T559" s="18">
        <v>16.260000000000002</v>
      </c>
      <c r="U559" s="18">
        <v>30.92</v>
      </c>
      <c r="Z559" s="3" t="s">
        <v>264</v>
      </c>
      <c r="AC559" s="3" t="s">
        <v>102</v>
      </c>
      <c r="AD559" s="6">
        <v>34.053690000000003</v>
      </c>
      <c r="AE559" s="6">
        <v>-118.242766</v>
      </c>
      <c r="AH559" s="3">
        <v>2019</v>
      </c>
      <c r="AI559" s="3">
        <v>10</v>
      </c>
      <c r="AJ559" s="8">
        <v>26</v>
      </c>
      <c r="AK559" s="3">
        <v>2019</v>
      </c>
      <c r="AL559" s="3">
        <v>10</v>
      </c>
      <c r="AM559" s="3">
        <v>31</v>
      </c>
      <c r="AN559" s="29">
        <v>0</v>
      </c>
      <c r="AO559" s="3">
        <v>2</v>
      </c>
      <c r="AP559" s="3">
        <v>660</v>
      </c>
      <c r="AR559" s="3">
        <v>662</v>
      </c>
      <c r="AU559" s="3">
        <v>800000</v>
      </c>
      <c r="AV559" s="3">
        <v>915772</v>
      </c>
      <c r="AW559" s="3">
        <v>1300000</v>
      </c>
      <c r="AX559" s="3">
        <v>1488129</v>
      </c>
      <c r="AY559" s="3">
        <v>87.358006773884696</v>
      </c>
      <c r="AZ559" s="3" t="s">
        <v>82</v>
      </c>
      <c r="BB559" s="3" t="s">
        <v>2842</v>
      </c>
      <c r="BC559" s="3" t="s">
        <v>2843</v>
      </c>
      <c r="BD559" s="8">
        <v>3</v>
      </c>
    </row>
    <row r="560" spans="1:56" ht="14.25" customHeight="1" thickBot="1">
      <c r="A560" s="3" t="s">
        <v>2844</v>
      </c>
      <c r="B560" s="3" t="s">
        <v>2784</v>
      </c>
      <c r="C560" s="3" t="s">
        <v>1023</v>
      </c>
      <c r="E560" s="3" t="s">
        <v>71</v>
      </c>
      <c r="F560" s="3">
        <f t="shared" si="4"/>
        <v>2</v>
      </c>
      <c r="G560" s="3" t="s">
        <v>72</v>
      </c>
      <c r="H560" s="3">
        <f t="shared" si="5"/>
        <v>2</v>
      </c>
      <c r="I560" s="3" t="s">
        <v>73</v>
      </c>
      <c r="J560" s="3" t="s">
        <v>74</v>
      </c>
      <c r="K560" s="3" t="s">
        <v>169</v>
      </c>
      <c r="M560" s="3" t="s">
        <v>97</v>
      </c>
      <c r="N560" s="3" t="s">
        <v>98</v>
      </c>
      <c r="O560" s="3" t="s">
        <v>78</v>
      </c>
      <c r="P560" s="3" t="s">
        <v>79</v>
      </c>
      <c r="Q560" s="3" t="s">
        <v>2845</v>
      </c>
      <c r="S560" s="18">
        <v>0</v>
      </c>
      <c r="T560" s="18">
        <v>13.52</v>
      </c>
      <c r="U560" s="18">
        <v>26.87</v>
      </c>
      <c r="V560" s="3" t="s">
        <v>2032</v>
      </c>
      <c r="W560" s="3" t="s">
        <v>355</v>
      </c>
      <c r="AC560" s="3" t="s">
        <v>81</v>
      </c>
      <c r="AD560" s="6">
        <v>34.955080000000002</v>
      </c>
      <c r="AE560" s="6">
        <v>-97.268405999999999</v>
      </c>
      <c r="AH560" s="3">
        <v>2020</v>
      </c>
      <c r="AI560" s="3">
        <v>5</v>
      </c>
      <c r="AJ560" s="8">
        <v>20</v>
      </c>
      <c r="AK560" s="3">
        <v>2020</v>
      </c>
      <c r="AL560" s="3">
        <v>5</v>
      </c>
      <c r="AM560" s="3">
        <v>23</v>
      </c>
      <c r="AN560" s="29">
        <v>2</v>
      </c>
      <c r="AW560" s="3">
        <v>1600000</v>
      </c>
      <c r="AX560" s="3">
        <v>1809225</v>
      </c>
      <c r="AY560" s="3">
        <v>88.435640805933602</v>
      </c>
      <c r="AZ560" s="3" t="s">
        <v>89</v>
      </c>
      <c r="BA560" s="3" t="s">
        <v>2846</v>
      </c>
      <c r="BC560" s="3" t="s">
        <v>2847</v>
      </c>
      <c r="BD560" s="8">
        <v>0</v>
      </c>
    </row>
    <row r="561" spans="1:56" ht="14.25" customHeight="1" thickBot="1">
      <c r="A561" s="3" t="s">
        <v>2848</v>
      </c>
      <c r="B561" s="3" t="s">
        <v>2784</v>
      </c>
      <c r="C561" s="3" t="s">
        <v>2849</v>
      </c>
      <c r="E561" s="3" t="s">
        <v>71</v>
      </c>
      <c r="F561" s="3">
        <f t="shared" si="4"/>
        <v>2</v>
      </c>
      <c r="G561" s="3" t="s">
        <v>72</v>
      </c>
      <c r="H561" s="3">
        <f t="shared" si="5"/>
        <v>2</v>
      </c>
      <c r="I561" s="3" t="s">
        <v>73</v>
      </c>
      <c r="J561" s="3" t="s">
        <v>74</v>
      </c>
      <c r="K561" s="3" t="s">
        <v>807</v>
      </c>
      <c r="M561" s="3" t="s">
        <v>97</v>
      </c>
      <c r="N561" s="3" t="s">
        <v>98</v>
      </c>
      <c r="O561" s="3" t="s">
        <v>78</v>
      </c>
      <c r="P561" s="3" t="s">
        <v>79</v>
      </c>
      <c r="Q561" s="3" t="s">
        <v>2850</v>
      </c>
      <c r="S561" s="24">
        <v>8.89</v>
      </c>
      <c r="T561" s="18">
        <v>10.26</v>
      </c>
      <c r="U561" s="24">
        <v>23.79</v>
      </c>
      <c r="V561" s="3" t="s">
        <v>355</v>
      </c>
      <c r="W561" s="3" t="s">
        <v>95</v>
      </c>
      <c r="AB561" s="3">
        <v>110</v>
      </c>
      <c r="AC561" s="3" t="s">
        <v>81</v>
      </c>
      <c r="AD561" s="6">
        <v>40.079659999999997</v>
      </c>
      <c r="AE561" s="6">
        <v>-89.433729</v>
      </c>
      <c r="AH561" s="3">
        <v>2020</v>
      </c>
      <c r="AI561" s="3">
        <v>11</v>
      </c>
      <c r="AJ561" s="8">
        <v>10</v>
      </c>
      <c r="AK561" s="3">
        <v>2020</v>
      </c>
      <c r="AL561" s="3">
        <v>11</v>
      </c>
      <c r="AM561" s="3">
        <v>10</v>
      </c>
      <c r="AN561" s="29">
        <v>11</v>
      </c>
      <c r="AW561" s="3">
        <v>350000</v>
      </c>
      <c r="AX561" s="3">
        <v>395768</v>
      </c>
      <c r="AY561" s="3">
        <v>88.435640805933602</v>
      </c>
      <c r="AZ561" s="3" t="s">
        <v>89</v>
      </c>
      <c r="BA561" s="3" t="s">
        <v>2851</v>
      </c>
      <c r="BC561" s="3" t="s">
        <v>2852</v>
      </c>
      <c r="BD561" s="8">
        <v>0</v>
      </c>
    </row>
    <row r="562" spans="1:56" ht="14.25" customHeight="1" thickBot="1">
      <c r="A562" s="3" t="s">
        <v>2853</v>
      </c>
      <c r="B562" s="3" t="s">
        <v>2784</v>
      </c>
      <c r="C562" s="3" t="s">
        <v>399</v>
      </c>
      <c r="D562" s="3" t="s">
        <v>2854</v>
      </c>
      <c r="E562" s="3" t="s">
        <v>71</v>
      </c>
      <c r="F562" s="3">
        <f t="shared" si="4"/>
        <v>2</v>
      </c>
      <c r="G562" s="3" t="s">
        <v>72</v>
      </c>
      <c r="H562" s="3">
        <f t="shared" si="5"/>
        <v>2</v>
      </c>
      <c r="I562" s="3" t="s">
        <v>73</v>
      </c>
      <c r="J562" s="3" t="s">
        <v>212</v>
      </c>
      <c r="L562" s="3" t="s">
        <v>2855</v>
      </c>
      <c r="M562" s="3" t="s">
        <v>97</v>
      </c>
      <c r="N562" s="3" t="s">
        <v>98</v>
      </c>
      <c r="O562" s="3" t="s">
        <v>78</v>
      </c>
      <c r="P562" s="3" t="s">
        <v>79</v>
      </c>
      <c r="Q562" s="3" t="s">
        <v>2856</v>
      </c>
      <c r="S562" s="24">
        <v>6.02</v>
      </c>
      <c r="T562" s="24">
        <v>22.06</v>
      </c>
      <c r="U562" s="24">
        <v>27.02</v>
      </c>
      <c r="V562" s="3" t="s">
        <v>95</v>
      </c>
      <c r="W562" s="3" t="s">
        <v>1537</v>
      </c>
      <c r="AB562" s="3">
        <v>100</v>
      </c>
      <c r="AC562" s="3" t="s">
        <v>81</v>
      </c>
      <c r="AD562" s="6">
        <v>27.756769999999999</v>
      </c>
      <c r="AE562" s="6">
        <v>-81.463982999999999</v>
      </c>
      <c r="AH562" s="3">
        <v>2020</v>
      </c>
      <c r="AI562" s="3">
        <v>11</v>
      </c>
      <c r="AJ562" s="8">
        <v>8</v>
      </c>
      <c r="AK562" s="3">
        <v>2020</v>
      </c>
      <c r="AL562" s="3">
        <v>11</v>
      </c>
      <c r="AM562" s="3">
        <v>12</v>
      </c>
      <c r="AN562" s="29">
        <v>12</v>
      </c>
      <c r="AW562" s="3">
        <v>1500000</v>
      </c>
      <c r="AX562" s="3">
        <v>1696149</v>
      </c>
      <c r="AY562" s="3">
        <v>88.435640805933602</v>
      </c>
      <c r="AZ562" s="3" t="s">
        <v>89</v>
      </c>
      <c r="BA562" s="3" t="s">
        <v>2857</v>
      </c>
      <c r="BC562" s="3" t="s">
        <v>2858</v>
      </c>
      <c r="BD562" s="8">
        <v>0</v>
      </c>
    </row>
    <row r="563" spans="1:56" ht="14.25" customHeight="1" thickBot="1">
      <c r="A563" s="3" t="s">
        <v>2859</v>
      </c>
      <c r="B563" s="3" t="s">
        <v>2784</v>
      </c>
      <c r="C563" s="3" t="s">
        <v>2860</v>
      </c>
      <c r="E563" s="3" t="s">
        <v>71</v>
      </c>
      <c r="F563" s="3">
        <f t="shared" si="4"/>
        <v>5</v>
      </c>
      <c r="G563" s="3" t="s">
        <v>175</v>
      </c>
      <c r="H563" s="3">
        <f t="shared" si="5"/>
        <v>6</v>
      </c>
      <c r="I563" s="3" t="s">
        <v>176</v>
      </c>
      <c r="J563" s="3" t="s">
        <v>177</v>
      </c>
      <c r="M563" s="3" t="s">
        <v>371</v>
      </c>
      <c r="N563" s="3" t="s">
        <v>372</v>
      </c>
      <c r="O563" s="3" t="s">
        <v>373</v>
      </c>
      <c r="P563" s="3" t="s">
        <v>79</v>
      </c>
      <c r="Q563" s="3" t="s">
        <v>2861</v>
      </c>
      <c r="S563" s="3">
        <v>17.2</v>
      </c>
      <c r="T563" s="3">
        <v>24</v>
      </c>
      <c r="U563" s="3">
        <v>28</v>
      </c>
      <c r="V563" s="3" t="s">
        <v>101</v>
      </c>
      <c r="AB563" s="3">
        <v>5</v>
      </c>
      <c r="AC563" s="3" t="s">
        <v>179</v>
      </c>
      <c r="AD563" s="8">
        <v>17.937000000000001</v>
      </c>
      <c r="AE563" s="8">
        <v>-66.727000000000004</v>
      </c>
      <c r="AH563" s="3">
        <v>2020</v>
      </c>
      <c r="AI563" s="3">
        <v>5</v>
      </c>
      <c r="AJ563" s="8">
        <v>2</v>
      </c>
      <c r="AK563" s="3">
        <v>2020</v>
      </c>
      <c r="AL563" s="3">
        <v>5</v>
      </c>
      <c r="AM563" s="3">
        <v>2</v>
      </c>
      <c r="AN563" s="29">
        <v>0</v>
      </c>
      <c r="AP563" s="3">
        <v>150</v>
      </c>
      <c r="AR563" s="3">
        <v>150</v>
      </c>
      <c r="AW563" s="3">
        <v>150000</v>
      </c>
      <c r="AX563" s="3">
        <v>169615</v>
      </c>
      <c r="AY563" s="3">
        <v>88.435640805933602</v>
      </c>
      <c r="AZ563" s="3" t="s">
        <v>206</v>
      </c>
      <c r="BA563" s="3" t="s">
        <v>2862</v>
      </c>
      <c r="BB563" s="3" t="s">
        <v>2863</v>
      </c>
      <c r="BC563" s="3" t="s">
        <v>2864</v>
      </c>
      <c r="BD563" s="8">
        <v>3</v>
      </c>
    </row>
    <row r="564" spans="1:56" ht="14.25" customHeight="1" thickBot="1">
      <c r="A564" s="3" t="s">
        <v>2865</v>
      </c>
      <c r="B564" s="3" t="s">
        <v>2784</v>
      </c>
      <c r="C564" s="3" t="s">
        <v>2764</v>
      </c>
      <c r="E564" s="3" t="s">
        <v>71</v>
      </c>
      <c r="F564" s="3">
        <f t="shared" si="4"/>
        <v>5</v>
      </c>
      <c r="G564" s="3" t="s">
        <v>175</v>
      </c>
      <c r="H564" s="3">
        <f t="shared" si="5"/>
        <v>6</v>
      </c>
      <c r="I564" s="3" t="s">
        <v>176</v>
      </c>
      <c r="J564" s="3" t="s">
        <v>177</v>
      </c>
      <c r="M564" s="3" t="s">
        <v>371</v>
      </c>
      <c r="N564" s="3" t="s">
        <v>372</v>
      </c>
      <c r="O564" s="3" t="s">
        <v>373</v>
      </c>
      <c r="P564" s="3" t="s">
        <v>79</v>
      </c>
      <c r="Q564" s="3" t="s">
        <v>2866</v>
      </c>
      <c r="S564" s="3">
        <v>17.2</v>
      </c>
      <c r="T564" s="3">
        <v>24</v>
      </c>
      <c r="U564" s="3">
        <v>28</v>
      </c>
      <c r="V564" s="3" t="s">
        <v>2867</v>
      </c>
      <c r="AB564" s="3">
        <v>6</v>
      </c>
      <c r="AC564" s="3" t="s">
        <v>179</v>
      </c>
      <c r="AD564" s="8">
        <v>17.934999999999999</v>
      </c>
      <c r="AE564" s="8">
        <v>-66.882999999999996</v>
      </c>
      <c r="AF564" s="3" t="s">
        <v>2868</v>
      </c>
      <c r="AH564" s="3">
        <v>2020</v>
      </c>
      <c r="AI564" s="3">
        <v>1</v>
      </c>
      <c r="AJ564" s="8">
        <v>7</v>
      </c>
      <c r="AK564" s="3">
        <v>2020</v>
      </c>
      <c r="AL564" s="3">
        <v>1</v>
      </c>
      <c r="AM564" s="3">
        <v>7</v>
      </c>
      <c r="AN564" s="29">
        <v>4</v>
      </c>
      <c r="AO564" s="3">
        <v>8</v>
      </c>
      <c r="AP564" s="3">
        <v>4170</v>
      </c>
      <c r="AQ564" s="3">
        <v>900</v>
      </c>
      <c r="AR564" s="3">
        <v>5078</v>
      </c>
      <c r="AU564" s="3">
        <v>400000</v>
      </c>
      <c r="AV564" s="3">
        <v>452306</v>
      </c>
      <c r="AW564" s="3">
        <v>800000</v>
      </c>
      <c r="AX564" s="3">
        <v>904613</v>
      </c>
      <c r="AY564" s="3">
        <v>88.435640805933602</v>
      </c>
      <c r="AZ564" s="3" t="s">
        <v>206</v>
      </c>
      <c r="BA564" s="3" t="s">
        <v>2869</v>
      </c>
      <c r="BB564" s="3" t="s">
        <v>2870</v>
      </c>
      <c r="BC564" s="3" t="s">
        <v>2871</v>
      </c>
      <c r="BD564" s="8">
        <v>4</v>
      </c>
    </row>
    <row r="565" spans="1:56" ht="14.25" customHeight="1" thickBot="1">
      <c r="A565" s="3" t="s">
        <v>2872</v>
      </c>
      <c r="B565" s="3" t="s">
        <v>2784</v>
      </c>
      <c r="C565" s="3" t="s">
        <v>2018</v>
      </c>
      <c r="E565" s="3" t="s">
        <v>71</v>
      </c>
      <c r="F565" s="3">
        <f t="shared" si="4"/>
        <v>1</v>
      </c>
      <c r="G565" s="3" t="s">
        <v>94</v>
      </c>
      <c r="H565" s="3">
        <f t="shared" si="5"/>
        <v>1</v>
      </c>
      <c r="I565" s="3" t="s">
        <v>95</v>
      </c>
      <c r="M565" s="3" t="s">
        <v>97</v>
      </c>
      <c r="N565" s="3" t="s">
        <v>98</v>
      </c>
      <c r="O565" s="3" t="s">
        <v>78</v>
      </c>
      <c r="P565" s="3" t="s">
        <v>79</v>
      </c>
      <c r="Q565" s="3" t="s">
        <v>2873</v>
      </c>
      <c r="R565" s="3" t="s">
        <v>200</v>
      </c>
      <c r="S565" s="16">
        <v>0</v>
      </c>
      <c r="T565" s="16">
        <v>14.67</v>
      </c>
      <c r="U565" s="16">
        <v>32.619999999999997</v>
      </c>
      <c r="V565" s="3" t="s">
        <v>962</v>
      </c>
      <c r="Z565" s="3" t="s">
        <v>264</v>
      </c>
      <c r="AC565" s="3" t="s">
        <v>102</v>
      </c>
      <c r="AD565" s="6">
        <v>31.963629999999998</v>
      </c>
      <c r="AE565" s="6">
        <v>-102.12450800000001</v>
      </c>
      <c r="AH565" s="3">
        <v>2020</v>
      </c>
      <c r="AI565" s="3">
        <v>5</v>
      </c>
      <c r="AJ565" s="8">
        <v>17</v>
      </c>
      <c r="AK565" s="3">
        <v>2020</v>
      </c>
      <c r="AL565" s="3">
        <v>5</v>
      </c>
      <c r="AM565" s="3">
        <v>20</v>
      </c>
      <c r="AN565" s="29">
        <v>1</v>
      </c>
      <c r="AP565" s="3">
        <v>10000</v>
      </c>
      <c r="AR565" s="3">
        <v>10000</v>
      </c>
      <c r="AW565" s="3">
        <v>2100000</v>
      </c>
      <c r="AX565" s="3">
        <v>2374608</v>
      </c>
      <c r="AY565" s="3">
        <v>88.435640805933602</v>
      </c>
      <c r="AZ565" s="3" t="s">
        <v>89</v>
      </c>
      <c r="BA565" s="3" t="s">
        <v>2553</v>
      </c>
      <c r="BC565" s="3" t="s">
        <v>2874</v>
      </c>
      <c r="BD565" s="8">
        <v>5</v>
      </c>
    </row>
    <row r="566" spans="1:56" ht="14.25" customHeight="1" thickBot="1">
      <c r="A566" s="3" t="s">
        <v>2875</v>
      </c>
      <c r="B566" s="3" t="s">
        <v>2784</v>
      </c>
      <c r="C566" s="3" t="s">
        <v>1463</v>
      </c>
      <c r="E566" s="3" t="s">
        <v>71</v>
      </c>
      <c r="F566" s="3">
        <f t="shared" si="4"/>
        <v>2</v>
      </c>
      <c r="G566" s="3" t="s">
        <v>72</v>
      </c>
      <c r="H566" s="3">
        <f t="shared" si="5"/>
        <v>2</v>
      </c>
      <c r="I566" s="3" t="s">
        <v>73</v>
      </c>
      <c r="J566" s="3" t="s">
        <v>74</v>
      </c>
      <c r="K566" s="3" t="s">
        <v>75</v>
      </c>
      <c r="M566" s="3" t="s">
        <v>97</v>
      </c>
      <c r="N566" s="3" t="s">
        <v>98</v>
      </c>
      <c r="O566" s="3" t="s">
        <v>78</v>
      </c>
      <c r="P566" s="3" t="s">
        <v>79</v>
      </c>
      <c r="Q566" s="3" t="s">
        <v>2876</v>
      </c>
      <c r="S566" s="18">
        <v>0</v>
      </c>
      <c r="T566" s="18">
        <v>2.62</v>
      </c>
      <c r="U566" s="18">
        <v>20.64</v>
      </c>
      <c r="V566" s="3" t="s">
        <v>355</v>
      </c>
      <c r="AC566" s="3" t="s">
        <v>81</v>
      </c>
      <c r="AD566" s="6">
        <v>40.079659999999997</v>
      </c>
      <c r="AE566" s="6">
        <v>-89.433729</v>
      </c>
      <c r="AH566" s="3">
        <v>2020</v>
      </c>
      <c r="AI566" s="3">
        <v>4</v>
      </c>
      <c r="AJ566" s="8">
        <v>6</v>
      </c>
      <c r="AK566" s="3">
        <v>2020</v>
      </c>
      <c r="AL566" s="3">
        <v>4</v>
      </c>
      <c r="AM566" s="3">
        <v>9</v>
      </c>
      <c r="AN566" s="29">
        <v>0</v>
      </c>
      <c r="AU566" s="3">
        <v>2200000</v>
      </c>
      <c r="AV566" s="3">
        <v>2487685</v>
      </c>
      <c r="AW566" s="3">
        <v>2900000</v>
      </c>
      <c r="AX566" s="3">
        <v>3279221</v>
      </c>
      <c r="AY566" s="3">
        <v>88.435640805933602</v>
      </c>
      <c r="AZ566" s="3" t="s">
        <v>89</v>
      </c>
      <c r="BA566" s="3" t="s">
        <v>2877</v>
      </c>
      <c r="BC566" s="3" t="s">
        <v>2878</v>
      </c>
      <c r="BD566" s="8">
        <v>0</v>
      </c>
    </row>
    <row r="567" spans="1:56" ht="14.25" customHeight="1" thickBot="1">
      <c r="A567" s="3" t="s">
        <v>2879</v>
      </c>
      <c r="B567" s="3" t="s">
        <v>2784</v>
      </c>
      <c r="C567" s="3" t="s">
        <v>711</v>
      </c>
      <c r="E567" s="3" t="s">
        <v>71</v>
      </c>
      <c r="F567" s="3">
        <f t="shared" si="4"/>
        <v>2</v>
      </c>
      <c r="G567" s="3" t="s">
        <v>72</v>
      </c>
      <c r="H567" s="3">
        <f t="shared" si="5"/>
        <v>2</v>
      </c>
      <c r="I567" s="3" t="s">
        <v>73</v>
      </c>
      <c r="J567" s="3" t="s">
        <v>74</v>
      </c>
      <c r="K567" s="3" t="s">
        <v>169</v>
      </c>
      <c r="M567" s="3" t="s">
        <v>97</v>
      </c>
      <c r="N567" s="3" t="s">
        <v>98</v>
      </c>
      <c r="O567" s="3" t="s">
        <v>78</v>
      </c>
      <c r="P567" s="3" t="s">
        <v>79</v>
      </c>
      <c r="Q567" s="3" t="s">
        <v>2880</v>
      </c>
      <c r="S567" s="18">
        <v>0</v>
      </c>
      <c r="T567" s="18">
        <v>17.34</v>
      </c>
      <c r="U567" s="18">
        <v>30.62</v>
      </c>
      <c r="V567" s="3" t="s">
        <v>355</v>
      </c>
      <c r="AB567" s="3">
        <v>130</v>
      </c>
      <c r="AC567" s="3" t="s">
        <v>81</v>
      </c>
      <c r="AD567" s="6">
        <v>34.955080000000002</v>
      </c>
      <c r="AE567" s="6">
        <v>-97.268405999999999</v>
      </c>
      <c r="AH567" s="3">
        <v>2020</v>
      </c>
      <c r="AI567" s="3">
        <v>5</v>
      </c>
      <c r="AJ567" s="8">
        <v>2</v>
      </c>
      <c r="AK567" s="3">
        <v>2020</v>
      </c>
      <c r="AL567" s="3">
        <v>5</v>
      </c>
      <c r="AM567" s="3">
        <v>3</v>
      </c>
      <c r="AN567" s="29">
        <v>2</v>
      </c>
      <c r="AU567" s="3">
        <v>500000</v>
      </c>
      <c r="AV567" s="3">
        <v>565383</v>
      </c>
      <c r="AW567" s="3">
        <v>850000</v>
      </c>
      <c r="AX567" s="3">
        <v>961151</v>
      </c>
      <c r="AY567" s="3">
        <v>88.435640805933602</v>
      </c>
      <c r="AZ567" s="3" t="s">
        <v>89</v>
      </c>
      <c r="BA567" s="3" t="s">
        <v>2881</v>
      </c>
      <c r="BC567" s="3" t="s">
        <v>2882</v>
      </c>
      <c r="BD567" s="8">
        <v>0</v>
      </c>
    </row>
    <row r="568" spans="1:56" ht="14.25" customHeight="1" thickBot="1">
      <c r="A568" s="3" t="s">
        <v>2883</v>
      </c>
      <c r="B568" s="3" t="s">
        <v>2784</v>
      </c>
      <c r="C568" s="3" t="s">
        <v>2884</v>
      </c>
      <c r="E568" s="3" t="s">
        <v>71</v>
      </c>
      <c r="F568" s="3">
        <f t="shared" si="4"/>
        <v>3</v>
      </c>
      <c r="G568" s="3" t="s">
        <v>119</v>
      </c>
      <c r="H568" s="3">
        <f t="shared" si="5"/>
        <v>7</v>
      </c>
      <c r="I568" s="3" t="s">
        <v>120</v>
      </c>
      <c r="J568" s="3" t="s">
        <v>120</v>
      </c>
      <c r="M568" s="3" t="s">
        <v>97</v>
      </c>
      <c r="N568" s="3" t="s">
        <v>98</v>
      </c>
      <c r="O568" s="3" t="s">
        <v>78</v>
      </c>
      <c r="P568" s="3" t="s">
        <v>79</v>
      </c>
      <c r="Q568" s="3" t="s">
        <v>2885</v>
      </c>
      <c r="S568" s="18">
        <v>0</v>
      </c>
      <c r="T568" s="18">
        <v>-1.84</v>
      </c>
      <c r="U568" s="18">
        <v>9.83</v>
      </c>
      <c r="V568" s="3" t="s">
        <v>220</v>
      </c>
      <c r="AC568" s="3" t="s">
        <v>102</v>
      </c>
      <c r="AD568" s="5">
        <v>36.545426072749102</v>
      </c>
      <c r="AE568" s="17">
        <v>-115.115048973957</v>
      </c>
      <c r="AH568" s="3">
        <v>2020</v>
      </c>
      <c r="AI568" s="3">
        <v>1</v>
      </c>
      <c r="AJ568" s="8">
        <v>1</v>
      </c>
      <c r="AK568" s="3">
        <v>2020</v>
      </c>
      <c r="AL568" s="3">
        <v>12</v>
      </c>
      <c r="AN568" s="29">
        <v>45</v>
      </c>
      <c r="AW568" s="3">
        <v>4500000</v>
      </c>
      <c r="AX568" s="3">
        <v>5088446</v>
      </c>
      <c r="AY568" s="3">
        <v>88.435640805933602</v>
      </c>
      <c r="AZ568" s="3" t="s">
        <v>89</v>
      </c>
      <c r="BA568" s="3" t="s">
        <v>2886</v>
      </c>
      <c r="BC568" s="3" t="s">
        <v>2887</v>
      </c>
      <c r="BD568" s="8">
        <v>0</v>
      </c>
    </row>
    <row r="569" spans="1:56" ht="14.25" customHeight="1" thickBot="1">
      <c r="A569" s="3" t="s">
        <v>2888</v>
      </c>
      <c r="B569" s="3" t="s">
        <v>2784</v>
      </c>
      <c r="C569" s="3" t="s">
        <v>2889</v>
      </c>
      <c r="E569" s="3" t="s">
        <v>71</v>
      </c>
      <c r="F569" s="3">
        <f t="shared" si="4"/>
        <v>2</v>
      </c>
      <c r="G569" s="3" t="s">
        <v>72</v>
      </c>
      <c r="H569" s="3">
        <f t="shared" si="5"/>
        <v>2</v>
      </c>
      <c r="I569" s="3" t="s">
        <v>73</v>
      </c>
      <c r="J569" s="3" t="s">
        <v>74</v>
      </c>
      <c r="K569" s="3" t="s">
        <v>75</v>
      </c>
      <c r="M569" s="3" t="s">
        <v>97</v>
      </c>
      <c r="N569" s="3" t="s">
        <v>98</v>
      </c>
      <c r="O569" s="3" t="s">
        <v>78</v>
      </c>
      <c r="P569" s="3" t="s">
        <v>79</v>
      </c>
      <c r="Q569" s="3" t="s">
        <v>2890</v>
      </c>
      <c r="S569" s="18">
        <v>0</v>
      </c>
      <c r="T569" s="18">
        <v>13.11</v>
      </c>
      <c r="U569" s="18">
        <v>22.06</v>
      </c>
      <c r="V569" s="3" t="s">
        <v>95</v>
      </c>
      <c r="AB569" s="3">
        <v>160</v>
      </c>
      <c r="AC569" s="3" t="s">
        <v>81</v>
      </c>
      <c r="AD569" s="6">
        <v>30.87039</v>
      </c>
      <c r="AE569" s="6">
        <v>-92.007126</v>
      </c>
      <c r="AH569" s="3">
        <v>2020</v>
      </c>
      <c r="AI569" s="3">
        <v>4</v>
      </c>
      <c r="AJ569" s="8">
        <v>10</v>
      </c>
      <c r="AK569" s="3">
        <v>2020</v>
      </c>
      <c r="AL569" s="3">
        <v>4</v>
      </c>
      <c r="AM569" s="3">
        <v>14</v>
      </c>
      <c r="AN569" s="29">
        <v>38</v>
      </c>
      <c r="AO569" s="3">
        <v>200</v>
      </c>
      <c r="AR569" s="3">
        <v>200</v>
      </c>
      <c r="AU569" s="3">
        <v>2600000</v>
      </c>
      <c r="AV569" s="3">
        <v>2939991</v>
      </c>
      <c r="AW569" s="3">
        <v>3500000</v>
      </c>
      <c r="AX569" s="3">
        <v>3957680</v>
      </c>
      <c r="AY569" s="3">
        <v>88.435640805933602</v>
      </c>
      <c r="AZ569" s="3" t="s">
        <v>89</v>
      </c>
      <c r="BA569" s="3" t="s">
        <v>2891</v>
      </c>
      <c r="BC569" s="3" t="s">
        <v>2892</v>
      </c>
      <c r="BD569" s="8">
        <v>3</v>
      </c>
    </row>
    <row r="570" spans="1:56" ht="14.25" customHeight="1" thickBot="1">
      <c r="A570" s="3" t="s">
        <v>2893</v>
      </c>
      <c r="B570" s="3" t="s">
        <v>2784</v>
      </c>
      <c r="C570" s="3" t="s">
        <v>2894</v>
      </c>
      <c r="E570" s="3" t="s">
        <v>71</v>
      </c>
      <c r="F570" s="3">
        <f t="shared" si="4"/>
        <v>2</v>
      </c>
      <c r="G570" s="3" t="s">
        <v>72</v>
      </c>
      <c r="H570" s="3">
        <f t="shared" si="5"/>
        <v>2</v>
      </c>
      <c r="I570" s="3" t="s">
        <v>73</v>
      </c>
      <c r="J570" s="3" t="s">
        <v>74</v>
      </c>
      <c r="K570" s="3" t="s">
        <v>75</v>
      </c>
      <c r="M570" s="3" t="s">
        <v>97</v>
      </c>
      <c r="N570" s="3" t="s">
        <v>98</v>
      </c>
      <c r="O570" s="3" t="s">
        <v>78</v>
      </c>
      <c r="P570" s="3" t="s">
        <v>79</v>
      </c>
      <c r="Q570" s="3" t="s">
        <v>2895</v>
      </c>
      <c r="S570" s="18">
        <v>0</v>
      </c>
      <c r="T570" s="18">
        <v>15.53</v>
      </c>
      <c r="U570" s="18">
        <v>28.93</v>
      </c>
      <c r="V570" s="3" t="s">
        <v>95</v>
      </c>
      <c r="AC570" s="3" t="s">
        <v>81</v>
      </c>
      <c r="AD570" s="6">
        <v>31.26389</v>
      </c>
      <c r="AE570" s="6">
        <v>-98.545612000000006</v>
      </c>
      <c r="AH570" s="3">
        <v>2020</v>
      </c>
      <c r="AI570" s="3">
        <v>4</v>
      </c>
      <c r="AJ570" s="8">
        <v>21</v>
      </c>
      <c r="AK570" s="3">
        <v>2020</v>
      </c>
      <c r="AL570" s="3">
        <v>4</v>
      </c>
      <c r="AM570" s="3">
        <v>24</v>
      </c>
      <c r="AN570" s="29">
        <v>3</v>
      </c>
      <c r="AO570" s="3">
        <v>31</v>
      </c>
      <c r="AR570" s="3">
        <v>31</v>
      </c>
      <c r="AW570" s="3">
        <v>1400000</v>
      </c>
      <c r="AX570" s="3">
        <v>1583072</v>
      </c>
      <c r="AY570" s="3">
        <v>88.435640805933602</v>
      </c>
      <c r="AZ570" s="3" t="s">
        <v>89</v>
      </c>
      <c r="BA570" s="3" t="s">
        <v>2896</v>
      </c>
      <c r="BC570" s="3" t="s">
        <v>2897</v>
      </c>
      <c r="BD570" s="8">
        <v>2</v>
      </c>
    </row>
    <row r="571" spans="1:56" ht="14.25" customHeight="1" thickBot="1">
      <c r="A571" s="3" t="s">
        <v>2898</v>
      </c>
      <c r="B571" s="3" t="s">
        <v>2784</v>
      </c>
      <c r="C571" s="3" t="s">
        <v>2899</v>
      </c>
      <c r="E571" s="3" t="s">
        <v>71</v>
      </c>
      <c r="F571" s="3">
        <f t="shared" si="4"/>
        <v>2</v>
      </c>
      <c r="G571" s="3" t="s">
        <v>72</v>
      </c>
      <c r="H571" s="3">
        <f t="shared" si="5"/>
        <v>2</v>
      </c>
      <c r="I571" s="3" t="s">
        <v>73</v>
      </c>
      <c r="J571" s="3" t="s">
        <v>74</v>
      </c>
      <c r="K571" s="3" t="s">
        <v>169</v>
      </c>
      <c r="M571" s="3" t="s">
        <v>97</v>
      </c>
      <c r="N571" s="3" t="s">
        <v>98</v>
      </c>
      <c r="O571" s="3" t="s">
        <v>78</v>
      </c>
      <c r="P571" s="3" t="s">
        <v>79</v>
      </c>
      <c r="Q571" s="3" t="s">
        <v>2900</v>
      </c>
      <c r="S571" s="18">
        <v>15.28</v>
      </c>
      <c r="T571" s="18">
        <v>13.92</v>
      </c>
      <c r="U571" s="18">
        <v>22.7</v>
      </c>
      <c r="V571" s="3" t="s">
        <v>95</v>
      </c>
      <c r="AC571" s="3" t="s">
        <v>81</v>
      </c>
      <c r="AD571" s="6">
        <v>31.26389</v>
      </c>
      <c r="AE571" s="6">
        <v>-98.545612000000006</v>
      </c>
      <c r="AH571" s="3">
        <v>2020</v>
      </c>
      <c r="AI571" s="3">
        <v>1</v>
      </c>
      <c r="AJ571" s="8">
        <v>10</v>
      </c>
      <c r="AK571" s="3">
        <v>2020</v>
      </c>
      <c r="AL571" s="3">
        <v>1</v>
      </c>
      <c r="AM571" s="3">
        <v>12</v>
      </c>
      <c r="AN571" s="29">
        <v>10</v>
      </c>
      <c r="AW571" s="3">
        <v>1200000</v>
      </c>
      <c r="AX571" s="3">
        <v>1356919</v>
      </c>
      <c r="AY571" s="3">
        <v>88.435640805933602</v>
      </c>
      <c r="AZ571" s="3" t="s">
        <v>89</v>
      </c>
      <c r="BA571" s="3" t="s">
        <v>2901</v>
      </c>
      <c r="BC571" s="3" t="s">
        <v>2902</v>
      </c>
      <c r="BD571" s="8">
        <v>0</v>
      </c>
    </row>
    <row r="572" spans="1:56" ht="14.25" customHeight="1" thickBot="1">
      <c r="A572" s="3" t="s">
        <v>2903</v>
      </c>
      <c r="B572" s="3" t="s">
        <v>2784</v>
      </c>
      <c r="C572" s="3" t="s">
        <v>2904</v>
      </c>
      <c r="E572" s="3" t="s">
        <v>71</v>
      </c>
      <c r="F572" s="3">
        <f t="shared" si="4"/>
        <v>2</v>
      </c>
      <c r="G572" s="3" t="s">
        <v>72</v>
      </c>
      <c r="H572" s="3">
        <f t="shared" si="5"/>
        <v>2</v>
      </c>
      <c r="I572" s="3" t="s">
        <v>73</v>
      </c>
      <c r="J572" s="3" t="s">
        <v>212</v>
      </c>
      <c r="L572" s="3" t="s">
        <v>1434</v>
      </c>
      <c r="M572" s="3" t="s">
        <v>97</v>
      </c>
      <c r="N572" s="3" t="s">
        <v>98</v>
      </c>
      <c r="O572" s="3" t="s">
        <v>78</v>
      </c>
      <c r="P572" s="3" t="s">
        <v>79</v>
      </c>
      <c r="Q572" s="3" t="s">
        <v>2820</v>
      </c>
      <c r="S572" s="18">
        <v>4.3099999999999996</v>
      </c>
      <c r="T572" s="18">
        <v>23.48</v>
      </c>
      <c r="U572" s="18">
        <v>33.5</v>
      </c>
      <c r="V572" s="3" t="s">
        <v>95</v>
      </c>
      <c r="AB572" s="3">
        <v>150</v>
      </c>
      <c r="AC572" s="3" t="s">
        <v>81</v>
      </c>
      <c r="AD572" s="6">
        <v>31.26389</v>
      </c>
      <c r="AE572" s="6">
        <v>-98.545612000000006</v>
      </c>
      <c r="AH572" s="3">
        <v>2020</v>
      </c>
      <c r="AI572" s="3">
        <v>7</v>
      </c>
      <c r="AJ572" s="8">
        <v>25</v>
      </c>
      <c r="AK572" s="3">
        <v>2020</v>
      </c>
      <c r="AL572" s="3">
        <v>7</v>
      </c>
      <c r="AM572" s="3">
        <v>25</v>
      </c>
      <c r="AN572" s="29">
        <v>0</v>
      </c>
      <c r="AW572" s="3">
        <v>1100000</v>
      </c>
      <c r="AX572" s="3">
        <v>1243842</v>
      </c>
      <c r="AY572" s="3">
        <v>88.435640805933602</v>
      </c>
      <c r="AZ572" s="3" t="s">
        <v>89</v>
      </c>
      <c r="BA572" s="3" t="s">
        <v>446</v>
      </c>
      <c r="BC572" s="3" t="s">
        <v>447</v>
      </c>
      <c r="BD572" s="8">
        <v>0</v>
      </c>
    </row>
    <row r="573" spans="1:56" ht="14.25" customHeight="1" thickBot="1">
      <c r="A573" s="3" t="s">
        <v>2905</v>
      </c>
      <c r="B573" s="3" t="s">
        <v>2784</v>
      </c>
      <c r="C573" s="3" t="s">
        <v>2814</v>
      </c>
      <c r="E573" s="3" t="s">
        <v>71</v>
      </c>
      <c r="F573" s="3">
        <f t="shared" si="4"/>
        <v>2</v>
      </c>
      <c r="G573" s="3" t="s">
        <v>72</v>
      </c>
      <c r="H573" s="3">
        <f t="shared" si="5"/>
        <v>2</v>
      </c>
      <c r="I573" s="3" t="s">
        <v>73</v>
      </c>
      <c r="J573" s="3" t="s">
        <v>212</v>
      </c>
      <c r="L573" s="3" t="s">
        <v>2906</v>
      </c>
      <c r="M573" s="3" t="s">
        <v>97</v>
      </c>
      <c r="N573" s="3" t="s">
        <v>98</v>
      </c>
      <c r="O573" s="3" t="s">
        <v>78</v>
      </c>
      <c r="P573" s="3" t="s">
        <v>79</v>
      </c>
      <c r="Q573" s="3" t="s">
        <v>2907</v>
      </c>
      <c r="S573" s="18">
        <v>0</v>
      </c>
      <c r="T573" s="18">
        <v>14.72</v>
      </c>
      <c r="U573" s="18">
        <v>30.53</v>
      </c>
      <c r="V573" s="3" t="s">
        <v>95</v>
      </c>
      <c r="AB573" s="3">
        <v>195</v>
      </c>
      <c r="AC573" s="3" t="s">
        <v>81</v>
      </c>
      <c r="AD573" s="6">
        <v>30.87039</v>
      </c>
      <c r="AE573" s="6">
        <v>-92.007126</v>
      </c>
      <c r="AH573" s="3">
        <v>2020</v>
      </c>
      <c r="AI573" s="3">
        <v>10</v>
      </c>
      <c r="AJ573" s="8">
        <v>7</v>
      </c>
      <c r="AK573" s="3">
        <v>2020</v>
      </c>
      <c r="AL573" s="3">
        <v>10</v>
      </c>
      <c r="AM573" s="3">
        <v>11</v>
      </c>
      <c r="AN573" s="29">
        <v>4</v>
      </c>
      <c r="AP573" s="3">
        <v>9400</v>
      </c>
      <c r="AR573" s="3">
        <v>9400</v>
      </c>
      <c r="AW573" s="3">
        <v>2900000</v>
      </c>
      <c r="AX573" s="3">
        <v>3279221</v>
      </c>
      <c r="AY573" s="3">
        <v>88.435640805933602</v>
      </c>
      <c r="AZ573" s="3" t="s">
        <v>89</v>
      </c>
      <c r="BA573" s="3" t="s">
        <v>2908</v>
      </c>
      <c r="BC573" s="3" t="s">
        <v>2909</v>
      </c>
      <c r="BD573" s="8">
        <v>4</v>
      </c>
    </row>
    <row r="574" spans="1:56" ht="14.25" customHeight="1" thickBot="1">
      <c r="A574" s="3" t="s">
        <v>2910</v>
      </c>
      <c r="B574" s="3" t="s">
        <v>2784</v>
      </c>
      <c r="C574" s="3" t="s">
        <v>2911</v>
      </c>
      <c r="E574" s="3" t="s">
        <v>71</v>
      </c>
      <c r="F574" s="3">
        <f t="shared" si="4"/>
        <v>2</v>
      </c>
      <c r="G574" s="3" t="s">
        <v>72</v>
      </c>
      <c r="H574" s="3">
        <f t="shared" si="5"/>
        <v>2</v>
      </c>
      <c r="I574" s="3" t="s">
        <v>73</v>
      </c>
      <c r="J574" s="3" t="s">
        <v>212</v>
      </c>
      <c r="L574" s="3" t="s">
        <v>2912</v>
      </c>
      <c r="M574" s="3" t="s">
        <v>97</v>
      </c>
      <c r="N574" s="3" t="s">
        <v>98</v>
      </c>
      <c r="O574" s="3" t="s">
        <v>78</v>
      </c>
      <c r="P574" s="3" t="s">
        <v>79</v>
      </c>
      <c r="Q574" s="3" t="s">
        <v>2913</v>
      </c>
      <c r="S574" s="18">
        <v>0</v>
      </c>
      <c r="T574" s="18">
        <v>21.87</v>
      </c>
      <c r="U574" s="18">
        <v>33.049999999999997</v>
      </c>
      <c r="V574" s="3" t="s">
        <v>95</v>
      </c>
      <c r="Z574" s="3" t="s">
        <v>264</v>
      </c>
      <c r="AB574" s="3">
        <v>165</v>
      </c>
      <c r="AC574" s="3" t="s">
        <v>81</v>
      </c>
      <c r="AD574" s="6">
        <v>33.258879999999998</v>
      </c>
      <c r="AE574" s="6">
        <v>-86.829533999999995</v>
      </c>
      <c r="AH574" s="3">
        <v>2020</v>
      </c>
      <c r="AI574" s="3">
        <v>9</v>
      </c>
      <c r="AJ574" s="8">
        <v>11</v>
      </c>
      <c r="AK574" s="3">
        <v>2020</v>
      </c>
      <c r="AL574" s="3">
        <v>9</v>
      </c>
      <c r="AM574" s="3">
        <v>18</v>
      </c>
      <c r="AN574" s="29">
        <v>8</v>
      </c>
      <c r="AU574" s="3">
        <v>3500000</v>
      </c>
      <c r="AV574" s="3">
        <v>3957680</v>
      </c>
      <c r="AW574" s="3">
        <v>6300000</v>
      </c>
      <c r="AX574" s="3">
        <v>7123825</v>
      </c>
      <c r="AY574" s="3">
        <v>88.435640805933602</v>
      </c>
      <c r="AZ574" s="3" t="s">
        <v>89</v>
      </c>
      <c r="BA574" s="3" t="s">
        <v>2914</v>
      </c>
      <c r="BC574" s="3" t="s">
        <v>2915</v>
      </c>
      <c r="BD574" s="8">
        <v>0</v>
      </c>
    </row>
    <row r="575" spans="1:56" ht="14.25" customHeight="1" thickBot="1">
      <c r="A575" s="3" t="s">
        <v>2916</v>
      </c>
      <c r="B575" s="3" t="s">
        <v>2784</v>
      </c>
      <c r="C575" s="3" t="s">
        <v>2917</v>
      </c>
      <c r="E575" s="3" t="s">
        <v>71</v>
      </c>
      <c r="F575" s="3">
        <f t="shared" si="4"/>
        <v>2</v>
      </c>
      <c r="G575" s="3" t="s">
        <v>72</v>
      </c>
      <c r="H575" s="3">
        <f t="shared" si="5"/>
        <v>2</v>
      </c>
      <c r="I575" s="3" t="s">
        <v>73</v>
      </c>
      <c r="J575" s="3" t="s">
        <v>212</v>
      </c>
      <c r="L575" s="3" t="s">
        <v>2918</v>
      </c>
      <c r="M575" s="3" t="s">
        <v>97</v>
      </c>
      <c r="N575" s="3" t="s">
        <v>98</v>
      </c>
      <c r="O575" s="3" t="s">
        <v>78</v>
      </c>
      <c r="P575" s="3" t="s">
        <v>79</v>
      </c>
      <c r="Q575" s="3" t="s">
        <v>2919</v>
      </c>
      <c r="S575" s="18">
        <v>0</v>
      </c>
      <c r="T575" s="18">
        <v>15.09</v>
      </c>
      <c r="U575" s="18">
        <v>20.29</v>
      </c>
      <c r="V575" s="3" t="s">
        <v>1537</v>
      </c>
      <c r="AB575" s="3">
        <v>175</v>
      </c>
      <c r="AC575" s="3" t="s">
        <v>81</v>
      </c>
      <c r="AD575" s="6">
        <v>30.87039</v>
      </c>
      <c r="AE575" s="6">
        <v>-92.007126</v>
      </c>
      <c r="AH575" s="3">
        <v>2020</v>
      </c>
      <c r="AI575" s="3">
        <v>10</v>
      </c>
      <c r="AJ575" s="8">
        <v>24</v>
      </c>
      <c r="AK575" s="3">
        <v>2020</v>
      </c>
      <c r="AL575" s="3">
        <v>10</v>
      </c>
      <c r="AM575" s="3">
        <v>30</v>
      </c>
      <c r="AN575" s="29">
        <v>6</v>
      </c>
      <c r="AW575" s="3">
        <v>3500000</v>
      </c>
      <c r="AX575" s="3">
        <v>3957680</v>
      </c>
      <c r="AY575" s="3">
        <v>88.435640805933602</v>
      </c>
      <c r="AZ575" s="3" t="s">
        <v>89</v>
      </c>
      <c r="BA575" s="3" t="s">
        <v>2121</v>
      </c>
      <c r="BC575" s="3" t="s">
        <v>2122</v>
      </c>
      <c r="BD575" s="8">
        <v>0</v>
      </c>
    </row>
    <row r="576" spans="1:56" ht="14.25" customHeight="1" thickBot="1">
      <c r="A576" s="3" t="s">
        <v>2920</v>
      </c>
      <c r="B576" s="3" t="s">
        <v>2784</v>
      </c>
      <c r="C576" s="3" t="s">
        <v>2921</v>
      </c>
      <c r="E576" s="3" t="s">
        <v>71</v>
      </c>
      <c r="F576" s="3">
        <f t="shared" si="4"/>
        <v>2</v>
      </c>
      <c r="G576" s="3" t="s">
        <v>72</v>
      </c>
      <c r="H576" s="3">
        <f t="shared" si="5"/>
        <v>2</v>
      </c>
      <c r="I576" s="3" t="s">
        <v>73</v>
      </c>
      <c r="J576" s="3" t="s">
        <v>212</v>
      </c>
      <c r="L576" s="3" t="s">
        <v>2922</v>
      </c>
      <c r="M576" s="3" t="s">
        <v>97</v>
      </c>
      <c r="N576" s="3" t="s">
        <v>98</v>
      </c>
      <c r="O576" s="3" t="s">
        <v>78</v>
      </c>
      <c r="P576" s="3" t="s">
        <v>79</v>
      </c>
      <c r="Q576" s="3" t="s">
        <v>2923</v>
      </c>
      <c r="S576" s="18">
        <v>15.29</v>
      </c>
      <c r="T576" s="18">
        <v>24.17</v>
      </c>
      <c r="U576" s="18">
        <v>31.8</v>
      </c>
      <c r="V576" s="3" t="s">
        <v>2924</v>
      </c>
      <c r="AB576" s="3">
        <v>240</v>
      </c>
      <c r="AC576" s="3" t="s">
        <v>81</v>
      </c>
      <c r="AD576" s="6">
        <v>30.87039</v>
      </c>
      <c r="AE576" s="6">
        <v>-92.007126</v>
      </c>
      <c r="AH576" s="3">
        <v>2020</v>
      </c>
      <c r="AI576" s="3">
        <v>8</v>
      </c>
      <c r="AJ576" s="8">
        <v>27</v>
      </c>
      <c r="AK576" s="3">
        <v>2020</v>
      </c>
      <c r="AL576" s="3">
        <v>8</v>
      </c>
      <c r="AM576" s="3">
        <v>28</v>
      </c>
      <c r="AN576" s="29">
        <v>33</v>
      </c>
      <c r="AP576" s="3">
        <v>6500</v>
      </c>
      <c r="AR576" s="3">
        <v>6500</v>
      </c>
      <c r="AU576" s="3">
        <v>10000000</v>
      </c>
      <c r="AV576" s="3">
        <v>11307658</v>
      </c>
      <c r="AW576" s="3">
        <v>13000000</v>
      </c>
      <c r="AX576" s="3">
        <v>14699956</v>
      </c>
      <c r="AY576" s="3">
        <v>88.435640805933602</v>
      </c>
      <c r="AZ576" s="3" t="s">
        <v>89</v>
      </c>
      <c r="BA576" s="3" t="s">
        <v>2494</v>
      </c>
      <c r="BC576" s="3" t="s">
        <v>2495</v>
      </c>
      <c r="BD576" s="8">
        <v>4</v>
      </c>
    </row>
    <row r="577" spans="1:56" ht="14.25" customHeight="1" thickBot="1">
      <c r="A577" s="3" t="s">
        <v>2925</v>
      </c>
      <c r="B577" s="3" t="s">
        <v>2784</v>
      </c>
      <c r="C577" s="3" t="s">
        <v>599</v>
      </c>
      <c r="E577" s="3" t="s">
        <v>71</v>
      </c>
      <c r="F577" s="3">
        <f t="shared" si="4"/>
        <v>2</v>
      </c>
      <c r="G577" s="3" t="s">
        <v>72</v>
      </c>
      <c r="H577" s="3">
        <f t="shared" si="5"/>
        <v>2</v>
      </c>
      <c r="I577" s="3" t="s">
        <v>73</v>
      </c>
      <c r="J577" s="3" t="s">
        <v>212</v>
      </c>
      <c r="L577" s="3" t="s">
        <v>2926</v>
      </c>
      <c r="M577" s="3" t="s">
        <v>371</v>
      </c>
      <c r="N577" s="3" t="s">
        <v>372</v>
      </c>
      <c r="O577" s="3" t="s">
        <v>373</v>
      </c>
      <c r="P577" s="3" t="s">
        <v>79</v>
      </c>
      <c r="Q577" s="3" t="s">
        <v>2927</v>
      </c>
      <c r="S577" s="18">
        <v>0</v>
      </c>
      <c r="T577" s="18">
        <v>23.3</v>
      </c>
      <c r="U577" s="18">
        <v>33.03</v>
      </c>
      <c r="AC577" s="3" t="s">
        <v>81</v>
      </c>
      <c r="AD577" s="6">
        <v>18.035260000000001</v>
      </c>
      <c r="AE577" s="6">
        <v>-66.848704999999995</v>
      </c>
      <c r="AH577" s="3">
        <v>2020</v>
      </c>
      <c r="AI577" s="3">
        <v>8</v>
      </c>
      <c r="AJ577" s="8">
        <v>2</v>
      </c>
      <c r="AK577" s="3">
        <v>2020</v>
      </c>
      <c r="AL577" s="3">
        <v>8</v>
      </c>
      <c r="AM577" s="3">
        <v>2</v>
      </c>
      <c r="AN577" s="29">
        <v>1</v>
      </c>
      <c r="AW577" s="3">
        <v>59800</v>
      </c>
      <c r="AX577" s="3">
        <v>67620</v>
      </c>
      <c r="AY577" s="3">
        <v>88.435640805933602</v>
      </c>
      <c r="AZ577" s="3" t="s">
        <v>82</v>
      </c>
      <c r="BB577" s="3" t="s">
        <v>2928</v>
      </c>
      <c r="BC577" s="3" t="s">
        <v>2929</v>
      </c>
      <c r="BD577" s="8">
        <v>0</v>
      </c>
    </row>
    <row r="578" spans="1:56" ht="14.25" customHeight="1" thickBot="1">
      <c r="A578" s="3" t="s">
        <v>2930</v>
      </c>
      <c r="B578" s="3" t="s">
        <v>2784</v>
      </c>
      <c r="C578" s="3" t="s">
        <v>1709</v>
      </c>
      <c r="E578" s="3" t="s">
        <v>71</v>
      </c>
      <c r="F578" s="3">
        <f t="shared" si="4"/>
        <v>2</v>
      </c>
      <c r="G578" s="3" t="s">
        <v>72</v>
      </c>
      <c r="H578" s="3">
        <f t="shared" si="5"/>
        <v>2</v>
      </c>
      <c r="I578" s="3" t="s">
        <v>73</v>
      </c>
      <c r="J578" s="3" t="s">
        <v>74</v>
      </c>
      <c r="K578" s="3" t="s">
        <v>2931</v>
      </c>
      <c r="M578" s="3" t="s">
        <v>97</v>
      </c>
      <c r="N578" s="3" t="s">
        <v>98</v>
      </c>
      <c r="O578" s="3" t="s">
        <v>78</v>
      </c>
      <c r="P578" s="3" t="s">
        <v>79</v>
      </c>
      <c r="Q578" s="3" t="s">
        <v>2932</v>
      </c>
      <c r="S578" s="18">
        <v>0</v>
      </c>
      <c r="T578" s="18">
        <v>20.73</v>
      </c>
      <c r="U578" s="18">
        <v>35.94</v>
      </c>
      <c r="AC578" s="3" t="s">
        <v>81</v>
      </c>
      <c r="AD578" s="6">
        <v>33.189239999999998</v>
      </c>
      <c r="AE578" s="6">
        <v>-102.827274</v>
      </c>
      <c r="AH578" s="3">
        <v>2020</v>
      </c>
      <c r="AI578" s="3">
        <v>8</v>
      </c>
      <c r="AJ578" s="8">
        <v>8</v>
      </c>
      <c r="AK578" s="3">
        <v>2020</v>
      </c>
      <c r="AL578" s="3">
        <v>8</v>
      </c>
      <c r="AM578" s="3">
        <v>12</v>
      </c>
      <c r="AN578" s="29">
        <v>4</v>
      </c>
      <c r="AU578" s="3">
        <v>5000000</v>
      </c>
      <c r="AV578" s="3">
        <v>5653829</v>
      </c>
      <c r="AW578" s="3">
        <v>6800000</v>
      </c>
      <c r="AX578" s="3">
        <v>7689208</v>
      </c>
      <c r="AY578" s="3">
        <v>88.435640805933602</v>
      </c>
      <c r="AZ578" s="3" t="s">
        <v>89</v>
      </c>
      <c r="BA578" s="3" t="s">
        <v>2933</v>
      </c>
      <c r="BC578" s="3" t="s">
        <v>2934</v>
      </c>
      <c r="BD578" s="8">
        <v>0</v>
      </c>
    </row>
    <row r="579" spans="1:56" ht="14.25" customHeight="1" thickBot="1">
      <c r="A579" s="3" t="s">
        <v>2935</v>
      </c>
      <c r="B579" s="3" t="s">
        <v>2784</v>
      </c>
      <c r="C579" s="3" t="s">
        <v>2936</v>
      </c>
      <c r="E579" s="3" t="s">
        <v>71</v>
      </c>
      <c r="F579" s="3">
        <f t="shared" si="4"/>
        <v>2</v>
      </c>
      <c r="G579" s="3" t="s">
        <v>72</v>
      </c>
      <c r="H579" s="3">
        <f t="shared" si="5"/>
        <v>2</v>
      </c>
      <c r="I579" s="3" t="s">
        <v>73</v>
      </c>
      <c r="J579" s="3" t="s">
        <v>74</v>
      </c>
      <c r="K579" s="3" t="s">
        <v>355</v>
      </c>
      <c r="M579" s="3" t="s">
        <v>97</v>
      </c>
      <c r="N579" s="3" t="s">
        <v>98</v>
      </c>
      <c r="O579" s="3" t="s">
        <v>78</v>
      </c>
      <c r="P579" s="3" t="s">
        <v>79</v>
      </c>
      <c r="Q579" s="3" t="s">
        <v>2937</v>
      </c>
      <c r="S579" s="18">
        <v>0</v>
      </c>
      <c r="T579" s="18">
        <v>20.16</v>
      </c>
      <c r="U579" s="18">
        <v>35.51</v>
      </c>
      <c r="AC579" s="3" t="s">
        <v>81</v>
      </c>
      <c r="AD579" s="6">
        <v>28.70391</v>
      </c>
      <c r="AE579" s="6">
        <v>-100.481477</v>
      </c>
      <c r="AH579" s="3">
        <v>2020</v>
      </c>
      <c r="AI579" s="3">
        <v>5</v>
      </c>
      <c r="AJ579" s="8">
        <v>27</v>
      </c>
      <c r="AK579" s="3">
        <v>2020</v>
      </c>
      <c r="AL579" s="3">
        <v>5</v>
      </c>
      <c r="AM579" s="3">
        <v>27</v>
      </c>
      <c r="AN579" s="29">
        <v>0</v>
      </c>
      <c r="AW579" s="3">
        <v>1400000</v>
      </c>
      <c r="AX579" s="3">
        <v>1583072</v>
      </c>
      <c r="AY579" s="3">
        <v>88.435640805933602</v>
      </c>
      <c r="AZ579" s="3" t="s">
        <v>89</v>
      </c>
      <c r="BA579" s="3" t="s">
        <v>446</v>
      </c>
      <c r="BC579" s="3" t="s">
        <v>447</v>
      </c>
      <c r="BD579" s="8">
        <v>0</v>
      </c>
    </row>
    <row r="580" spans="1:56" ht="14.25" customHeight="1" thickBot="1">
      <c r="A580" s="3" t="s">
        <v>2938</v>
      </c>
      <c r="B580" s="3" t="s">
        <v>2784</v>
      </c>
      <c r="C580" s="3" t="s">
        <v>2939</v>
      </c>
      <c r="E580" s="3" t="s">
        <v>71</v>
      </c>
      <c r="F580" s="3">
        <f t="shared" si="4"/>
        <v>2</v>
      </c>
      <c r="G580" s="3" t="s">
        <v>72</v>
      </c>
      <c r="H580" s="3">
        <f t="shared" si="5"/>
        <v>2</v>
      </c>
      <c r="I580" s="3" t="s">
        <v>73</v>
      </c>
      <c r="J580" s="3" t="s">
        <v>74</v>
      </c>
      <c r="K580" s="3" t="s">
        <v>75</v>
      </c>
      <c r="M580" s="3" t="s">
        <v>97</v>
      </c>
      <c r="N580" s="3" t="s">
        <v>98</v>
      </c>
      <c r="O580" s="3" t="s">
        <v>78</v>
      </c>
      <c r="P580" s="3" t="s">
        <v>79</v>
      </c>
      <c r="Q580" s="3" t="s">
        <v>2940</v>
      </c>
      <c r="S580" s="18">
        <v>18.98</v>
      </c>
      <c r="T580" s="18">
        <v>2.3199999999999998</v>
      </c>
      <c r="U580" s="18">
        <v>17.399999999999999</v>
      </c>
      <c r="Z580" s="3" t="s">
        <v>264</v>
      </c>
      <c r="AC580" s="3" t="s">
        <v>81</v>
      </c>
      <c r="AD580" s="6">
        <v>36.162280000000003</v>
      </c>
      <c r="AE580" s="6">
        <v>-86.774298000000002</v>
      </c>
      <c r="AH580" s="3">
        <v>2020</v>
      </c>
      <c r="AI580" s="3">
        <v>3</v>
      </c>
      <c r="AJ580" s="8">
        <v>2</v>
      </c>
      <c r="AK580" s="3">
        <v>2020</v>
      </c>
      <c r="AL580" s="3">
        <v>3</v>
      </c>
      <c r="AM580" s="3">
        <v>5</v>
      </c>
      <c r="AN580" s="29">
        <v>25</v>
      </c>
      <c r="AO580" s="3">
        <v>300</v>
      </c>
      <c r="AP580" s="3">
        <v>12000</v>
      </c>
      <c r="AR580" s="3">
        <v>12300</v>
      </c>
      <c r="AW580" s="3">
        <v>2500000</v>
      </c>
      <c r="AX580" s="3">
        <v>2826915</v>
      </c>
      <c r="AY580" s="3">
        <v>88.435640805933602</v>
      </c>
      <c r="AZ580" s="3" t="s">
        <v>89</v>
      </c>
      <c r="BA580" s="3" t="s">
        <v>2941</v>
      </c>
      <c r="BC580" s="3" t="s">
        <v>2942</v>
      </c>
      <c r="BD580" s="8">
        <v>5</v>
      </c>
    </row>
    <row r="581" spans="1:56" ht="14.25" customHeight="1" thickBot="1">
      <c r="A581" s="3" t="s">
        <v>2943</v>
      </c>
      <c r="B581" s="3" t="s">
        <v>2784</v>
      </c>
      <c r="C581" s="3" t="s">
        <v>2944</v>
      </c>
      <c r="E581" s="3" t="s">
        <v>71</v>
      </c>
      <c r="F581" s="3">
        <f t="shared" si="4"/>
        <v>2</v>
      </c>
      <c r="G581" s="3" t="s">
        <v>72</v>
      </c>
      <c r="H581" s="3">
        <f t="shared" si="5"/>
        <v>2</v>
      </c>
      <c r="I581" s="3" t="s">
        <v>73</v>
      </c>
      <c r="J581" s="3" t="s">
        <v>74</v>
      </c>
      <c r="K581" s="3" t="s">
        <v>169</v>
      </c>
      <c r="M581" s="3" t="s">
        <v>97</v>
      </c>
      <c r="N581" s="3" t="s">
        <v>98</v>
      </c>
      <c r="O581" s="3" t="s">
        <v>78</v>
      </c>
      <c r="P581" s="3" t="s">
        <v>79</v>
      </c>
      <c r="Q581" s="3" t="s">
        <v>2945</v>
      </c>
      <c r="S581" s="18">
        <v>11.24</v>
      </c>
      <c r="T581" s="18">
        <v>10.87</v>
      </c>
      <c r="U581" s="18">
        <v>25.18</v>
      </c>
      <c r="AC581" s="3" t="s">
        <v>81</v>
      </c>
      <c r="AD581" s="6">
        <v>38.760480000000001</v>
      </c>
      <c r="AE581" s="6">
        <v>-92.561786999999995</v>
      </c>
      <c r="AH581" s="3">
        <v>2020</v>
      </c>
      <c r="AI581" s="3">
        <v>3</v>
      </c>
      <c r="AJ581" s="8">
        <v>27</v>
      </c>
      <c r="AK581" s="3">
        <v>2020</v>
      </c>
      <c r="AL581" s="3">
        <v>3</v>
      </c>
      <c r="AM581" s="3">
        <v>28</v>
      </c>
      <c r="AN581" s="29">
        <v>0</v>
      </c>
      <c r="AU581" s="3">
        <v>2200000</v>
      </c>
      <c r="AV581" s="3">
        <v>2487685</v>
      </c>
      <c r="AW581" s="3">
        <v>2900000</v>
      </c>
      <c r="AX581" s="3">
        <v>3279221</v>
      </c>
      <c r="AY581" s="3">
        <v>88.435640805933602</v>
      </c>
      <c r="AZ581" s="3" t="s">
        <v>89</v>
      </c>
      <c r="BA581" s="3" t="s">
        <v>2946</v>
      </c>
      <c r="BC581" s="3" t="s">
        <v>2947</v>
      </c>
      <c r="BD581" s="8">
        <v>0</v>
      </c>
    </row>
    <row r="582" spans="1:56" ht="14.25" customHeight="1" thickBot="1">
      <c r="A582" s="3" t="s">
        <v>2948</v>
      </c>
      <c r="B582" s="3" t="s">
        <v>2784</v>
      </c>
      <c r="C582" s="3" t="s">
        <v>1603</v>
      </c>
      <c r="E582" s="3" t="s">
        <v>71</v>
      </c>
      <c r="F582" s="3">
        <f t="shared" si="4"/>
        <v>1</v>
      </c>
      <c r="G582" s="3" t="s">
        <v>94</v>
      </c>
      <c r="H582" s="3">
        <f t="shared" si="5"/>
        <v>1</v>
      </c>
      <c r="I582" s="3" t="s">
        <v>95</v>
      </c>
      <c r="J582" s="3" t="s">
        <v>96</v>
      </c>
      <c r="M582" s="3" t="s">
        <v>97</v>
      </c>
      <c r="N582" s="3" t="s">
        <v>98</v>
      </c>
      <c r="O582" s="3" t="s">
        <v>78</v>
      </c>
      <c r="P582" s="3" t="s">
        <v>79</v>
      </c>
      <c r="Q582" s="3" t="s">
        <v>2949</v>
      </c>
      <c r="R582" s="3" t="s">
        <v>200</v>
      </c>
      <c r="S582" s="18">
        <v>109.34</v>
      </c>
      <c r="T582" s="18">
        <v>13.33</v>
      </c>
      <c r="U582" s="18">
        <v>19.86</v>
      </c>
      <c r="Z582" s="3" t="s">
        <v>264</v>
      </c>
      <c r="AC582" s="3" t="s">
        <v>102</v>
      </c>
      <c r="AD582" s="6">
        <v>32.971530000000001</v>
      </c>
      <c r="AE582" s="6">
        <v>-89.734849999999994</v>
      </c>
      <c r="AG582" s="3" t="s">
        <v>2950</v>
      </c>
      <c r="AH582" s="3">
        <v>2020</v>
      </c>
      <c r="AI582" s="3">
        <v>2</v>
      </c>
      <c r="AJ582" s="8">
        <v>10</v>
      </c>
      <c r="AK582" s="3">
        <v>2020</v>
      </c>
      <c r="AL582" s="3">
        <v>2</v>
      </c>
      <c r="AM582" s="3">
        <v>17</v>
      </c>
      <c r="AN582" s="29">
        <v>0</v>
      </c>
      <c r="AP582" s="3">
        <v>3000</v>
      </c>
      <c r="AR582" s="3">
        <v>3000</v>
      </c>
      <c r="AW582" s="3">
        <v>175000</v>
      </c>
      <c r="AX582" s="3">
        <v>197884</v>
      </c>
      <c r="AY582" s="3">
        <v>88.435640805933602</v>
      </c>
      <c r="AZ582" s="3" t="s">
        <v>89</v>
      </c>
      <c r="BA582" s="3" t="s">
        <v>859</v>
      </c>
      <c r="BC582" s="3" t="s">
        <v>2951</v>
      </c>
      <c r="BD582" s="8">
        <v>4</v>
      </c>
    </row>
    <row r="583" spans="1:56" ht="14.25" customHeight="1" thickBot="1">
      <c r="A583" s="3" t="s">
        <v>2952</v>
      </c>
      <c r="B583" s="3" t="s">
        <v>2784</v>
      </c>
      <c r="C583" s="3" t="s">
        <v>926</v>
      </c>
      <c r="E583" s="3" t="s">
        <v>71</v>
      </c>
      <c r="F583" s="3">
        <f t="shared" si="4"/>
        <v>2</v>
      </c>
      <c r="G583" s="3" t="s">
        <v>72</v>
      </c>
      <c r="H583" s="3">
        <f t="shared" si="5"/>
        <v>2</v>
      </c>
      <c r="I583" s="3" t="s">
        <v>73</v>
      </c>
      <c r="J583" s="3" t="s">
        <v>212</v>
      </c>
      <c r="L583" s="3" t="s">
        <v>2953</v>
      </c>
      <c r="M583" s="3" t="s">
        <v>97</v>
      </c>
      <c r="N583" s="3" t="s">
        <v>98</v>
      </c>
      <c r="O583" s="3" t="s">
        <v>78</v>
      </c>
      <c r="P583" s="3" t="s">
        <v>79</v>
      </c>
      <c r="Q583" s="3" t="s">
        <v>2954</v>
      </c>
      <c r="S583" s="18">
        <v>34.97</v>
      </c>
      <c r="T583" s="18">
        <v>23.87</v>
      </c>
      <c r="U583" s="18">
        <v>26.89</v>
      </c>
      <c r="Z583" s="3" t="s">
        <v>264</v>
      </c>
      <c r="AB583" s="3">
        <v>85</v>
      </c>
      <c r="AC583" s="3" t="s">
        <v>81</v>
      </c>
      <c r="AD583" s="5">
        <v>29.495560647477799</v>
      </c>
      <c r="AE583" s="17">
        <v>-90.835386344032699</v>
      </c>
      <c r="AH583" s="3">
        <v>2020</v>
      </c>
      <c r="AI583" s="3">
        <v>6</v>
      </c>
      <c r="AJ583" s="8">
        <v>7</v>
      </c>
      <c r="AK583" s="3">
        <v>2020</v>
      </c>
      <c r="AL583" s="3">
        <v>6</v>
      </c>
      <c r="AM583" s="3">
        <v>7</v>
      </c>
      <c r="AN583" s="29">
        <v>1</v>
      </c>
      <c r="AW583" s="3">
        <v>325000</v>
      </c>
      <c r="AX583" s="3">
        <v>367499</v>
      </c>
      <c r="AY583" s="3">
        <v>88.435640805933602</v>
      </c>
      <c r="AZ583" s="3" t="s">
        <v>82</v>
      </c>
      <c r="BB583" s="3" t="s">
        <v>2955</v>
      </c>
      <c r="BC583" s="3" t="s">
        <v>2956</v>
      </c>
      <c r="BD583" s="8">
        <v>0</v>
      </c>
    </row>
    <row r="584" spans="1:56" ht="14.25" customHeight="1" thickBot="1">
      <c r="A584" s="3" t="s">
        <v>2957</v>
      </c>
      <c r="B584" s="3" t="s">
        <v>2784</v>
      </c>
      <c r="C584" s="3" t="s">
        <v>599</v>
      </c>
      <c r="E584" s="3" t="s">
        <v>71</v>
      </c>
      <c r="F584" s="3">
        <f t="shared" si="4"/>
        <v>2</v>
      </c>
      <c r="G584" s="3" t="s">
        <v>72</v>
      </c>
      <c r="H584" s="3">
        <f t="shared" si="5"/>
        <v>2</v>
      </c>
      <c r="I584" s="3" t="s">
        <v>73</v>
      </c>
      <c r="J584" s="3" t="s">
        <v>212</v>
      </c>
      <c r="L584" s="3" t="s">
        <v>2926</v>
      </c>
      <c r="M584" s="3" t="s">
        <v>97</v>
      </c>
      <c r="N584" s="3" t="s">
        <v>98</v>
      </c>
      <c r="O584" s="3" t="s">
        <v>78</v>
      </c>
      <c r="P584" s="3" t="s">
        <v>79</v>
      </c>
      <c r="Q584" s="3" t="s">
        <v>2958</v>
      </c>
      <c r="S584" s="18">
        <v>0</v>
      </c>
      <c r="T584" s="18">
        <v>22.52</v>
      </c>
      <c r="U584" s="18">
        <v>33.340000000000003</v>
      </c>
      <c r="AC584" s="3" t="s">
        <v>81</v>
      </c>
      <c r="AD584" s="6">
        <v>35.672960000000003</v>
      </c>
      <c r="AE584" s="6">
        <v>-79.039292000000003</v>
      </c>
      <c r="AH584" s="3">
        <v>2020</v>
      </c>
      <c r="AI584" s="3">
        <v>7</v>
      </c>
      <c r="AJ584" s="8">
        <v>31</v>
      </c>
      <c r="AK584" s="3">
        <v>2020</v>
      </c>
      <c r="AL584" s="3">
        <v>8</v>
      </c>
      <c r="AM584" s="3">
        <v>2</v>
      </c>
      <c r="AN584" s="29">
        <v>16</v>
      </c>
      <c r="AW584" s="3">
        <v>4800000</v>
      </c>
      <c r="AX584" s="3">
        <v>5427676</v>
      </c>
      <c r="AY584" s="3">
        <v>88.435640805933602</v>
      </c>
      <c r="AZ584" s="3" t="s">
        <v>89</v>
      </c>
      <c r="BA584" s="3" t="s">
        <v>2959</v>
      </c>
      <c r="BC584" s="3" t="s">
        <v>2960</v>
      </c>
      <c r="BD584" s="8">
        <v>0</v>
      </c>
    </row>
    <row r="585" spans="1:56" ht="14.25" customHeight="1" thickBot="1">
      <c r="A585" s="3" t="s">
        <v>2961</v>
      </c>
      <c r="B585" s="3" t="s">
        <v>2784</v>
      </c>
      <c r="C585" s="3" t="s">
        <v>2962</v>
      </c>
      <c r="E585" s="3" t="s">
        <v>71</v>
      </c>
      <c r="F585" s="3">
        <f t="shared" si="4"/>
        <v>3</v>
      </c>
      <c r="G585" s="3" t="s">
        <v>119</v>
      </c>
      <c r="H585" s="3">
        <f t="shared" si="5"/>
        <v>3</v>
      </c>
      <c r="I585" s="3" t="s">
        <v>122</v>
      </c>
      <c r="J585" s="3" t="s">
        <v>227</v>
      </c>
      <c r="L585" s="3" t="s">
        <v>2963</v>
      </c>
      <c r="M585" s="3" t="s">
        <v>97</v>
      </c>
      <c r="N585" s="3" t="s">
        <v>98</v>
      </c>
      <c r="O585" s="3" t="s">
        <v>78</v>
      </c>
      <c r="P585" s="3" t="s">
        <v>79</v>
      </c>
      <c r="Q585" s="3" t="s">
        <v>2964</v>
      </c>
      <c r="S585" s="18">
        <v>0</v>
      </c>
      <c r="T585" s="18">
        <v>13.91</v>
      </c>
      <c r="U585" s="18">
        <v>32.840000000000003</v>
      </c>
      <c r="AC585" s="3" t="s">
        <v>102</v>
      </c>
      <c r="AD585" s="5">
        <v>39.351244971583199</v>
      </c>
      <c r="AE585" s="17">
        <v>-105.00362734932401</v>
      </c>
      <c r="AH585" s="3">
        <v>2020</v>
      </c>
      <c r="AI585" s="3">
        <v>8</v>
      </c>
      <c r="AJ585" s="8">
        <v>16</v>
      </c>
      <c r="AK585" s="3">
        <v>2020</v>
      </c>
      <c r="AL585" s="3">
        <v>10</v>
      </c>
      <c r="AM585" s="3">
        <v>1</v>
      </c>
      <c r="AN585" s="29">
        <v>32</v>
      </c>
      <c r="AU585" s="3">
        <v>7500000</v>
      </c>
      <c r="AV585" s="3">
        <v>8480744</v>
      </c>
      <c r="AW585" s="3">
        <v>11000000</v>
      </c>
      <c r="AX585" s="3">
        <v>12438424</v>
      </c>
      <c r="AY585" s="3">
        <v>88.435640805933602</v>
      </c>
      <c r="AZ585" s="3" t="s">
        <v>89</v>
      </c>
      <c r="BA585" s="3" t="s">
        <v>2965</v>
      </c>
      <c r="BC585" s="3" t="s">
        <v>2966</v>
      </c>
      <c r="BD585" s="8">
        <v>0</v>
      </c>
    </row>
    <row r="586" spans="1:56" ht="14.25" customHeight="1" thickBot="1">
      <c r="A586" s="3" t="s">
        <v>2967</v>
      </c>
      <c r="B586" s="3" t="s">
        <v>2792</v>
      </c>
      <c r="C586" s="3" t="s">
        <v>2899</v>
      </c>
      <c r="E586" s="3" t="s">
        <v>71</v>
      </c>
      <c r="F586" s="3">
        <f t="shared" si="4"/>
        <v>2</v>
      </c>
      <c r="G586" s="3" t="s">
        <v>72</v>
      </c>
      <c r="H586" s="3">
        <f t="shared" si="5"/>
        <v>2</v>
      </c>
      <c r="I586" s="3" t="s">
        <v>73</v>
      </c>
      <c r="J586" s="3" t="s">
        <v>74</v>
      </c>
      <c r="K586" s="3" t="s">
        <v>169</v>
      </c>
      <c r="M586" s="3" t="s">
        <v>97</v>
      </c>
      <c r="N586" s="3" t="s">
        <v>98</v>
      </c>
      <c r="O586" s="3" t="s">
        <v>78</v>
      </c>
      <c r="P586" s="3" t="s">
        <v>79</v>
      </c>
      <c r="Q586" s="3" t="s">
        <v>2968</v>
      </c>
      <c r="S586" s="18">
        <v>0</v>
      </c>
      <c r="T586" s="18">
        <v>5.93</v>
      </c>
      <c r="U586" s="18">
        <v>13.77</v>
      </c>
      <c r="V586" s="3" t="s">
        <v>95</v>
      </c>
      <c r="W586" s="3" t="s">
        <v>101</v>
      </c>
      <c r="AC586" s="3" t="s">
        <v>81</v>
      </c>
      <c r="AD586" s="5">
        <v>45.404410237251099</v>
      </c>
      <c r="AE586" s="17">
        <v>-122.505872696247</v>
      </c>
      <c r="AH586" s="3">
        <v>2021</v>
      </c>
      <c r="AI586" s="3">
        <v>1</v>
      </c>
      <c r="AJ586" s="8">
        <v>13</v>
      </c>
      <c r="AK586" s="3">
        <v>2021</v>
      </c>
      <c r="AL586" s="3">
        <v>1</v>
      </c>
      <c r="AM586" s="3">
        <v>15</v>
      </c>
      <c r="AN586" s="29">
        <v>3</v>
      </c>
      <c r="AW586" s="3">
        <v>675000</v>
      </c>
      <c r="AX586" s="3">
        <v>729019</v>
      </c>
      <c r="AY586" s="3">
        <v>92.590192930992899</v>
      </c>
      <c r="AZ586" s="3" t="s">
        <v>89</v>
      </c>
      <c r="BA586" s="3" t="s">
        <v>1164</v>
      </c>
      <c r="BC586" s="3" t="s">
        <v>1165</v>
      </c>
      <c r="BD586" s="8">
        <v>0</v>
      </c>
    </row>
    <row r="587" spans="1:56" ht="14.25" customHeight="1" thickBot="1">
      <c r="A587" s="3" t="s">
        <v>2969</v>
      </c>
      <c r="B587" s="3" t="s">
        <v>2792</v>
      </c>
      <c r="C587" s="3" t="s">
        <v>2970</v>
      </c>
      <c r="E587" s="3" t="s">
        <v>71</v>
      </c>
      <c r="F587" s="3">
        <f t="shared" si="4"/>
        <v>2</v>
      </c>
      <c r="G587" s="3" t="s">
        <v>72</v>
      </c>
      <c r="H587" s="3">
        <f t="shared" si="5"/>
        <v>2</v>
      </c>
      <c r="I587" s="3" t="s">
        <v>73</v>
      </c>
      <c r="J587" s="3" t="s">
        <v>74</v>
      </c>
      <c r="K587" s="3" t="s">
        <v>169</v>
      </c>
      <c r="M587" s="3" t="s">
        <v>97</v>
      </c>
      <c r="N587" s="3" t="s">
        <v>98</v>
      </c>
      <c r="O587" s="3" t="s">
        <v>78</v>
      </c>
      <c r="P587" s="3" t="s">
        <v>79</v>
      </c>
      <c r="Q587" s="3" t="s">
        <v>2971</v>
      </c>
      <c r="S587" s="18">
        <v>1.43</v>
      </c>
      <c r="T587" s="18">
        <v>3.22</v>
      </c>
      <c r="U587" s="18">
        <v>11.43</v>
      </c>
      <c r="V587" s="3" t="s">
        <v>95</v>
      </c>
      <c r="W587" s="3" t="s">
        <v>101</v>
      </c>
      <c r="AC587" s="3" t="s">
        <v>81</v>
      </c>
      <c r="AD587" s="5">
        <v>36.974103438249799</v>
      </c>
      <c r="AE587" s="17">
        <v>-122.038039249585</v>
      </c>
      <c r="AH587" s="3">
        <v>2021</v>
      </c>
      <c r="AI587" s="3">
        <v>1</v>
      </c>
      <c r="AJ587" s="8">
        <v>24</v>
      </c>
      <c r="AK587" s="3">
        <v>2021</v>
      </c>
      <c r="AL587" s="3">
        <v>1</v>
      </c>
      <c r="AM587" s="3">
        <v>29</v>
      </c>
      <c r="AN587" s="29">
        <v>2</v>
      </c>
      <c r="AP587" s="3">
        <v>75</v>
      </c>
      <c r="AR587" s="3">
        <v>75</v>
      </c>
      <c r="AW587" s="3">
        <v>1100000</v>
      </c>
      <c r="AX587" s="3">
        <v>1188031</v>
      </c>
      <c r="AY587" s="3">
        <v>92.590192930992899</v>
      </c>
      <c r="AZ587" s="3" t="s">
        <v>82</v>
      </c>
      <c r="BB587" s="3" t="s">
        <v>2972</v>
      </c>
      <c r="BC587" s="3" t="s">
        <v>2973</v>
      </c>
      <c r="BD587" s="8">
        <v>2</v>
      </c>
    </row>
    <row r="588" spans="1:56" ht="14.25" customHeight="1" thickBot="1">
      <c r="A588" s="3" t="s">
        <v>2974</v>
      </c>
      <c r="B588" s="3" t="s">
        <v>2792</v>
      </c>
      <c r="C588" s="3" t="s">
        <v>341</v>
      </c>
      <c r="E588" s="3" t="s">
        <v>71</v>
      </c>
      <c r="F588" s="3">
        <f t="shared" si="4"/>
        <v>2</v>
      </c>
      <c r="G588" s="3" t="s">
        <v>72</v>
      </c>
      <c r="H588" s="3">
        <f t="shared" si="5"/>
        <v>2</v>
      </c>
      <c r="I588" s="3" t="s">
        <v>73</v>
      </c>
      <c r="J588" s="3" t="s">
        <v>74</v>
      </c>
      <c r="K588" s="3" t="s">
        <v>75</v>
      </c>
      <c r="M588" s="3" t="s">
        <v>97</v>
      </c>
      <c r="N588" s="3" t="s">
        <v>98</v>
      </c>
      <c r="O588" s="3" t="s">
        <v>78</v>
      </c>
      <c r="P588" s="3" t="s">
        <v>79</v>
      </c>
      <c r="Q588" s="3" t="s">
        <v>2975</v>
      </c>
      <c r="S588" s="18">
        <v>0</v>
      </c>
      <c r="T588" s="18">
        <v>7.92</v>
      </c>
      <c r="U588" s="18">
        <v>19.46</v>
      </c>
      <c r="V588" s="3" t="s">
        <v>95</v>
      </c>
      <c r="W588" s="3" t="s">
        <v>355</v>
      </c>
      <c r="AC588" s="3" t="s">
        <v>81</v>
      </c>
      <c r="AD588" s="6">
        <v>37.496899999999997</v>
      </c>
      <c r="AE588" s="6">
        <v>-122.333057</v>
      </c>
      <c r="AH588" s="3">
        <v>2021</v>
      </c>
      <c r="AI588" s="3">
        <v>5</v>
      </c>
      <c r="AJ588" s="8">
        <v>2</v>
      </c>
      <c r="AK588" s="3">
        <v>2021</v>
      </c>
      <c r="AL588" s="3">
        <v>5</v>
      </c>
      <c r="AM588" s="3">
        <v>4</v>
      </c>
      <c r="AN588" s="29">
        <v>4</v>
      </c>
      <c r="AO588" s="3">
        <v>8</v>
      </c>
      <c r="AR588" s="3">
        <v>8</v>
      </c>
      <c r="AW588" s="3">
        <v>1300000</v>
      </c>
      <c r="AX588" s="3">
        <v>1404036</v>
      </c>
      <c r="AY588" s="3">
        <v>92.590192930992899</v>
      </c>
      <c r="AZ588" s="3" t="s">
        <v>89</v>
      </c>
      <c r="BA588" s="3" t="s">
        <v>2976</v>
      </c>
      <c r="BC588" s="3" t="s">
        <v>2977</v>
      </c>
      <c r="BD588" s="8">
        <v>1</v>
      </c>
    </row>
    <row r="589" spans="1:56" ht="14.25" customHeight="1" thickBot="1">
      <c r="A589" s="3" t="s">
        <v>2978</v>
      </c>
      <c r="B589" s="3" t="s">
        <v>2792</v>
      </c>
      <c r="C589" s="3" t="s">
        <v>1273</v>
      </c>
      <c r="E589" s="3" t="s">
        <v>71</v>
      </c>
      <c r="F589" s="3">
        <f t="shared" si="4"/>
        <v>2</v>
      </c>
      <c r="G589" s="3" t="s">
        <v>72</v>
      </c>
      <c r="H589" s="3">
        <f t="shared" si="5"/>
        <v>2</v>
      </c>
      <c r="I589" s="3" t="s">
        <v>73</v>
      </c>
      <c r="J589" s="3" t="s">
        <v>74</v>
      </c>
      <c r="K589" s="3" t="s">
        <v>169</v>
      </c>
      <c r="M589" s="3" t="s">
        <v>97</v>
      </c>
      <c r="N589" s="3" t="s">
        <v>98</v>
      </c>
      <c r="O589" s="3" t="s">
        <v>78</v>
      </c>
      <c r="P589" s="3" t="s">
        <v>79</v>
      </c>
      <c r="Q589" s="3" t="s">
        <v>2979</v>
      </c>
      <c r="S589" s="18">
        <v>0</v>
      </c>
      <c r="T589" s="18">
        <v>18.02</v>
      </c>
      <c r="U589" s="18">
        <v>25.73</v>
      </c>
      <c r="V589" s="3" t="s">
        <v>95</v>
      </c>
      <c r="W589" s="3" t="s">
        <v>355</v>
      </c>
      <c r="AC589" s="3" t="s">
        <v>81</v>
      </c>
      <c r="AD589" s="6">
        <v>31.26389</v>
      </c>
      <c r="AE589" s="6">
        <v>-98.545612000000006</v>
      </c>
      <c r="AH589" s="3">
        <v>2021</v>
      </c>
      <c r="AI589" s="3">
        <v>4</v>
      </c>
      <c r="AJ589" s="8">
        <v>27</v>
      </c>
      <c r="AK589" s="3">
        <v>2021</v>
      </c>
      <c r="AL589" s="3">
        <v>5</v>
      </c>
      <c r="AM589" s="3">
        <v>2</v>
      </c>
      <c r="AN589" s="29">
        <v>0</v>
      </c>
      <c r="AW589" s="3">
        <v>3100000</v>
      </c>
      <c r="AX589" s="3">
        <v>3348087</v>
      </c>
      <c r="AY589" s="3">
        <v>92.590192930992899</v>
      </c>
      <c r="AZ589" s="3" t="s">
        <v>89</v>
      </c>
      <c r="BA589" s="3" t="s">
        <v>1055</v>
      </c>
      <c r="BC589" s="3" t="s">
        <v>1056</v>
      </c>
      <c r="BD589" s="8">
        <v>0</v>
      </c>
    </row>
    <row r="590" spans="1:56" ht="14.25" customHeight="1" thickBot="1">
      <c r="A590" s="3" t="s">
        <v>2980</v>
      </c>
      <c r="B590" s="3" t="s">
        <v>2792</v>
      </c>
      <c r="C590" s="3" t="s">
        <v>644</v>
      </c>
      <c r="E590" s="3" t="s">
        <v>71</v>
      </c>
      <c r="F590" s="3">
        <f t="shared" si="4"/>
        <v>2</v>
      </c>
      <c r="G590" s="3" t="s">
        <v>72</v>
      </c>
      <c r="H590" s="3">
        <f t="shared" si="5"/>
        <v>2</v>
      </c>
      <c r="I590" s="3" t="s">
        <v>73</v>
      </c>
      <c r="J590" s="3" t="s">
        <v>74</v>
      </c>
      <c r="K590" s="3" t="s">
        <v>169</v>
      </c>
      <c r="M590" s="3" t="s">
        <v>97</v>
      </c>
      <c r="N590" s="3" t="s">
        <v>98</v>
      </c>
      <c r="O590" s="3" t="s">
        <v>78</v>
      </c>
      <c r="P590" s="3" t="s">
        <v>79</v>
      </c>
      <c r="Q590" s="3" t="s">
        <v>2981</v>
      </c>
      <c r="S590" s="18">
        <v>0</v>
      </c>
      <c r="T590" s="18">
        <v>25.69</v>
      </c>
      <c r="U590" s="18">
        <v>42.45</v>
      </c>
      <c r="V590" s="3" t="s">
        <v>95</v>
      </c>
      <c r="W590" s="3" t="s">
        <v>355</v>
      </c>
      <c r="AC590" s="3" t="s">
        <v>81</v>
      </c>
      <c r="AD590" s="6">
        <v>34.395339999999997</v>
      </c>
      <c r="AE590" s="6">
        <v>-111.76327499999999</v>
      </c>
      <c r="AH590" s="3">
        <v>2021</v>
      </c>
      <c r="AI590" s="3">
        <v>7</v>
      </c>
      <c r="AJ590" s="8">
        <v>8</v>
      </c>
      <c r="AK590" s="3">
        <v>2021</v>
      </c>
      <c r="AL590" s="3">
        <v>7</v>
      </c>
      <c r="AM590" s="3">
        <v>11</v>
      </c>
      <c r="AN590" s="29">
        <v>1</v>
      </c>
      <c r="AW590" s="3">
        <v>1200000</v>
      </c>
      <c r="AX590" s="3">
        <v>1296034</v>
      </c>
      <c r="AY590" s="3">
        <v>92.590192930992899</v>
      </c>
      <c r="AZ590" s="3" t="s">
        <v>89</v>
      </c>
      <c r="BA590" s="3" t="s">
        <v>2982</v>
      </c>
      <c r="BC590" s="3" t="s">
        <v>2983</v>
      </c>
      <c r="BD590" s="8">
        <v>0</v>
      </c>
    </row>
    <row r="591" spans="1:56" ht="14.25" customHeight="1" thickBot="1">
      <c r="A591" s="3" t="s">
        <v>2984</v>
      </c>
      <c r="B591" s="3" t="s">
        <v>2792</v>
      </c>
      <c r="C591" s="3" t="s">
        <v>2985</v>
      </c>
      <c r="E591" s="3" t="s">
        <v>71</v>
      </c>
      <c r="F591" s="3">
        <f t="shared" si="4"/>
        <v>2</v>
      </c>
      <c r="G591" s="3" t="s">
        <v>72</v>
      </c>
      <c r="H591" s="3">
        <f t="shared" si="5"/>
        <v>2</v>
      </c>
      <c r="I591" s="3" t="s">
        <v>73</v>
      </c>
      <c r="J591" s="3" t="s">
        <v>74</v>
      </c>
      <c r="K591" s="3" t="s">
        <v>75</v>
      </c>
      <c r="M591" s="3" t="s">
        <v>97</v>
      </c>
      <c r="N591" s="3" t="s">
        <v>98</v>
      </c>
      <c r="O591" s="3" t="s">
        <v>78</v>
      </c>
      <c r="P591" s="3" t="s">
        <v>79</v>
      </c>
      <c r="Q591" s="3" t="s">
        <v>2986</v>
      </c>
      <c r="S591" s="18">
        <v>3.38</v>
      </c>
      <c r="T591" s="18">
        <v>3.27</v>
      </c>
      <c r="U591" s="18">
        <v>17.93</v>
      </c>
      <c r="V591" s="3" t="s">
        <v>343</v>
      </c>
      <c r="W591" s="3" t="s">
        <v>95</v>
      </c>
      <c r="AC591" s="3" t="s">
        <v>81</v>
      </c>
      <c r="AD591" s="6">
        <v>33.522820000000003</v>
      </c>
      <c r="AE591" s="6">
        <v>-86.916450999999995</v>
      </c>
      <c r="AH591" s="3">
        <v>2021</v>
      </c>
      <c r="AI591" s="3">
        <v>1</v>
      </c>
      <c r="AJ591" s="8">
        <v>24</v>
      </c>
      <c r="AK591" s="3">
        <v>2021</v>
      </c>
      <c r="AL591" s="3">
        <v>1</v>
      </c>
      <c r="AM591" s="3">
        <v>27</v>
      </c>
      <c r="AN591" s="29">
        <v>1</v>
      </c>
      <c r="AO591" s="3">
        <v>30</v>
      </c>
      <c r="AR591" s="3">
        <v>30</v>
      </c>
      <c r="AW591" s="3">
        <v>120000</v>
      </c>
      <c r="AX591" s="3">
        <v>129603</v>
      </c>
      <c r="AY591" s="3">
        <v>92.590192930992899</v>
      </c>
      <c r="AZ591" s="3" t="s">
        <v>82</v>
      </c>
      <c r="BB591" s="3" t="s">
        <v>2987</v>
      </c>
      <c r="BC591" s="3" t="s">
        <v>2988</v>
      </c>
      <c r="BD591" s="8">
        <v>2</v>
      </c>
    </row>
    <row r="592" spans="1:56" ht="14.25" customHeight="1" thickBot="1">
      <c r="A592" s="3" t="s">
        <v>2989</v>
      </c>
      <c r="B592" s="3" t="s">
        <v>2792</v>
      </c>
      <c r="C592" s="3" t="s">
        <v>2990</v>
      </c>
      <c r="E592" s="3" t="s">
        <v>71</v>
      </c>
      <c r="F592" s="3">
        <f t="shared" si="4"/>
        <v>2</v>
      </c>
      <c r="G592" s="3" t="s">
        <v>72</v>
      </c>
      <c r="H592" s="3">
        <f t="shared" si="5"/>
        <v>2</v>
      </c>
      <c r="I592" s="3" t="s">
        <v>73</v>
      </c>
      <c r="J592" s="3" t="s">
        <v>74</v>
      </c>
      <c r="L592" s="3" t="s">
        <v>2991</v>
      </c>
      <c r="M592" s="3" t="s">
        <v>97</v>
      </c>
      <c r="N592" s="3" t="s">
        <v>98</v>
      </c>
      <c r="O592" s="3" t="s">
        <v>78</v>
      </c>
      <c r="P592" s="3" t="s">
        <v>79</v>
      </c>
      <c r="Q592" s="3" t="s">
        <v>2992</v>
      </c>
      <c r="S592" s="18">
        <v>38.770000000000003</v>
      </c>
      <c r="T592" s="18">
        <v>17.649999999999999</v>
      </c>
      <c r="U592" s="18">
        <v>30.12</v>
      </c>
      <c r="V592" s="3" t="s">
        <v>129</v>
      </c>
      <c r="W592" s="3" t="s">
        <v>95</v>
      </c>
      <c r="AC592" s="3" t="s">
        <v>81</v>
      </c>
      <c r="AD592" s="6">
        <v>32.094831840764797</v>
      </c>
      <c r="AE592" s="23">
        <v>-88.218944628561999</v>
      </c>
      <c r="AH592" s="3">
        <v>2021</v>
      </c>
      <c r="AI592" s="3">
        <v>6</v>
      </c>
      <c r="AJ592" s="8">
        <v>18</v>
      </c>
      <c r="AK592" s="3">
        <v>2021</v>
      </c>
      <c r="AL592" s="3">
        <v>6</v>
      </c>
      <c r="AM592" s="3">
        <v>21</v>
      </c>
      <c r="AN592" s="29">
        <v>14</v>
      </c>
      <c r="AO592" s="3">
        <v>20</v>
      </c>
      <c r="AP592" s="3">
        <v>324</v>
      </c>
      <c r="AR592" s="3">
        <v>344</v>
      </c>
      <c r="AW592" s="3">
        <v>375000</v>
      </c>
      <c r="AX592" s="3">
        <v>405010</v>
      </c>
      <c r="AY592" s="3">
        <v>92.590192930992899</v>
      </c>
      <c r="AZ592" s="3" t="s">
        <v>206</v>
      </c>
      <c r="BA592" s="3" t="s">
        <v>2993</v>
      </c>
      <c r="BB592" s="3" t="s">
        <v>2994</v>
      </c>
      <c r="BC592" s="3" t="s">
        <v>2995</v>
      </c>
      <c r="BD592" s="8">
        <v>3</v>
      </c>
    </row>
    <row r="593" spans="1:56" ht="14.25" customHeight="1" thickBot="1">
      <c r="A593" s="3" t="s">
        <v>2996</v>
      </c>
      <c r="B593" s="3" t="s">
        <v>2792</v>
      </c>
      <c r="C593" s="3" t="s">
        <v>1973</v>
      </c>
      <c r="E593" s="3" t="s">
        <v>71</v>
      </c>
      <c r="F593" s="3">
        <f t="shared" si="4"/>
        <v>1</v>
      </c>
      <c r="G593" s="3" t="s">
        <v>94</v>
      </c>
      <c r="H593" s="3">
        <f t="shared" si="5"/>
        <v>1</v>
      </c>
      <c r="I593" s="3" t="s">
        <v>95</v>
      </c>
      <c r="J593" s="3" t="s">
        <v>96</v>
      </c>
      <c r="M593" s="3" t="s">
        <v>97</v>
      </c>
      <c r="N593" s="3" t="s">
        <v>98</v>
      </c>
      <c r="O593" s="3" t="s">
        <v>78</v>
      </c>
      <c r="P593" s="3" t="s">
        <v>79</v>
      </c>
      <c r="Q593" s="3" t="s">
        <v>2997</v>
      </c>
      <c r="R593" s="3" t="s">
        <v>2998</v>
      </c>
      <c r="S593" s="18">
        <v>0</v>
      </c>
      <c r="T593" s="18">
        <v>-9.06</v>
      </c>
      <c r="U593" s="18">
        <v>2.56</v>
      </c>
      <c r="V593" s="3" t="s">
        <v>101</v>
      </c>
      <c r="Z593" s="3" t="s">
        <v>264</v>
      </c>
      <c r="AC593" s="3" t="s">
        <v>102</v>
      </c>
      <c r="AD593" s="6">
        <v>46.058839999999996</v>
      </c>
      <c r="AE593" s="6">
        <v>-94.887282999999996</v>
      </c>
      <c r="AH593" s="3">
        <v>2021</v>
      </c>
      <c r="AI593" s="3">
        <v>2</v>
      </c>
      <c r="AJ593" s="8">
        <v>25</v>
      </c>
      <c r="AK593" s="3">
        <v>2021</v>
      </c>
      <c r="AL593" s="3">
        <v>3</v>
      </c>
      <c r="AM593" s="3">
        <v>1</v>
      </c>
      <c r="AN593" s="29">
        <v>1</v>
      </c>
      <c r="AO593" s="3">
        <v>1</v>
      </c>
      <c r="AP593" s="3">
        <v>50</v>
      </c>
      <c r="AR593" s="3">
        <v>51</v>
      </c>
      <c r="AW593" s="3">
        <v>150000</v>
      </c>
      <c r="AX593" s="3">
        <v>162004</v>
      </c>
      <c r="AY593" s="3">
        <v>92.590192930992899</v>
      </c>
      <c r="AZ593" s="3" t="s">
        <v>206</v>
      </c>
      <c r="BA593" s="3" t="s">
        <v>2999</v>
      </c>
      <c r="BB593" s="3" t="s">
        <v>3000</v>
      </c>
      <c r="BC593" s="3" t="s">
        <v>3001</v>
      </c>
      <c r="BD593" s="8">
        <v>2</v>
      </c>
    </row>
    <row r="594" spans="1:56" ht="14.25" customHeight="1" thickBot="1">
      <c r="A594" s="3" t="s">
        <v>3002</v>
      </c>
      <c r="B594" s="3" t="s">
        <v>2792</v>
      </c>
      <c r="C594" s="3" t="s">
        <v>3003</v>
      </c>
      <c r="E594" s="3" t="s">
        <v>71</v>
      </c>
      <c r="F594" s="3">
        <f t="shared" si="4"/>
        <v>1</v>
      </c>
      <c r="G594" s="3" t="s">
        <v>94</v>
      </c>
      <c r="H594" s="3">
        <f t="shared" si="5"/>
        <v>1</v>
      </c>
      <c r="I594" s="3" t="s">
        <v>95</v>
      </c>
      <c r="M594" s="3" t="s">
        <v>97</v>
      </c>
      <c r="N594" s="3" t="s">
        <v>98</v>
      </c>
      <c r="O594" s="3" t="s">
        <v>78</v>
      </c>
      <c r="P594" s="3" t="s">
        <v>79</v>
      </c>
      <c r="Q594" s="3" t="s">
        <v>3004</v>
      </c>
      <c r="R594" s="3" t="s">
        <v>200</v>
      </c>
      <c r="S594" s="18">
        <v>0</v>
      </c>
      <c r="T594" s="18">
        <v>16.78</v>
      </c>
      <c r="U594" s="18">
        <v>34.369999999999997</v>
      </c>
      <c r="V594" s="3" t="s">
        <v>101</v>
      </c>
      <c r="Z594" s="3" t="s">
        <v>264</v>
      </c>
      <c r="AC594" s="3" t="s">
        <v>102</v>
      </c>
      <c r="AD594" s="6">
        <v>35.141307571928401</v>
      </c>
      <c r="AE594" s="23">
        <v>-106.63803751135799</v>
      </c>
      <c r="AH594" s="3">
        <v>2021</v>
      </c>
      <c r="AI594" s="3">
        <v>7</v>
      </c>
      <c r="AJ594" s="8">
        <v>16</v>
      </c>
      <c r="AK594" s="3">
        <v>2021</v>
      </c>
      <c r="AL594" s="3">
        <v>7</v>
      </c>
      <c r="AM594" s="3">
        <v>21</v>
      </c>
      <c r="AN594" s="29">
        <v>8</v>
      </c>
      <c r="AW594" s="3">
        <v>50000</v>
      </c>
      <c r="AX594" s="3">
        <v>54001</v>
      </c>
      <c r="AY594" s="3">
        <v>92.590192930992899</v>
      </c>
      <c r="AZ594" s="3" t="s">
        <v>206</v>
      </c>
      <c r="BA594" s="3" t="s">
        <v>3005</v>
      </c>
      <c r="BB594" s="3" t="s">
        <v>3006</v>
      </c>
      <c r="BC594" s="3" t="s">
        <v>3007</v>
      </c>
      <c r="BD594" s="8">
        <v>0</v>
      </c>
    </row>
    <row r="595" spans="1:56" ht="14.25" customHeight="1" thickBot="1">
      <c r="A595" s="3" t="s">
        <v>3008</v>
      </c>
      <c r="B595" s="3" t="s">
        <v>2792</v>
      </c>
      <c r="C595" s="3" t="s">
        <v>3009</v>
      </c>
      <c r="E595" s="3" t="s">
        <v>71</v>
      </c>
      <c r="F595" s="3">
        <f t="shared" si="4"/>
        <v>2</v>
      </c>
      <c r="G595" s="3" t="s">
        <v>72</v>
      </c>
      <c r="H595" s="3">
        <f t="shared" si="5"/>
        <v>2</v>
      </c>
      <c r="I595" s="3" t="s">
        <v>73</v>
      </c>
      <c r="J595" s="3" t="s">
        <v>74</v>
      </c>
      <c r="K595" s="3" t="s">
        <v>169</v>
      </c>
      <c r="M595" s="3" t="s">
        <v>97</v>
      </c>
      <c r="N595" s="3" t="s">
        <v>98</v>
      </c>
      <c r="O595" s="3" t="s">
        <v>78</v>
      </c>
      <c r="P595" s="3" t="s">
        <v>79</v>
      </c>
      <c r="Q595" s="3" t="s">
        <v>3010</v>
      </c>
      <c r="S595" s="18">
        <v>15.72</v>
      </c>
      <c r="T595" s="18">
        <v>16.68</v>
      </c>
      <c r="U595" s="18">
        <v>29.39</v>
      </c>
      <c r="V595" s="3" t="s">
        <v>355</v>
      </c>
      <c r="AC595" s="3" t="s">
        <v>81</v>
      </c>
      <c r="AD595" s="6">
        <v>30.87039</v>
      </c>
      <c r="AE595" s="6">
        <v>-92.007126</v>
      </c>
      <c r="AH595" s="3">
        <v>2021</v>
      </c>
      <c r="AI595" s="3">
        <v>4</v>
      </c>
      <c r="AJ595" s="8">
        <v>9</v>
      </c>
      <c r="AK595" s="3">
        <v>2021</v>
      </c>
      <c r="AL595" s="3">
        <v>4</v>
      </c>
      <c r="AM595" s="3">
        <v>11</v>
      </c>
      <c r="AN595" s="29">
        <v>3</v>
      </c>
      <c r="AO595" s="3">
        <v>7</v>
      </c>
      <c r="AR595" s="3">
        <v>7</v>
      </c>
      <c r="AW595" s="3">
        <v>945000</v>
      </c>
      <c r="AX595" s="3">
        <v>1020626</v>
      </c>
      <c r="AY595" s="3">
        <v>92.590192930992899</v>
      </c>
      <c r="AZ595" s="3" t="s">
        <v>89</v>
      </c>
      <c r="BA595" s="3" t="s">
        <v>3011</v>
      </c>
      <c r="BC595" s="3" t="s">
        <v>3012</v>
      </c>
      <c r="BD595" s="8">
        <v>1</v>
      </c>
    </row>
    <row r="596" spans="1:56" ht="14.25" customHeight="1" thickBot="1">
      <c r="A596" s="3" t="s">
        <v>3013</v>
      </c>
      <c r="B596" s="3" t="s">
        <v>2792</v>
      </c>
      <c r="C596" s="3" t="s">
        <v>2740</v>
      </c>
      <c r="E596" s="3" t="s">
        <v>71</v>
      </c>
      <c r="F596" s="3">
        <f t="shared" si="4"/>
        <v>2</v>
      </c>
      <c r="G596" s="3" t="s">
        <v>72</v>
      </c>
      <c r="H596" s="3">
        <f t="shared" si="5"/>
        <v>2</v>
      </c>
      <c r="I596" s="3" t="s">
        <v>73</v>
      </c>
      <c r="J596" s="3" t="s">
        <v>74</v>
      </c>
      <c r="K596" s="3" t="s">
        <v>169</v>
      </c>
      <c r="M596" s="3" t="s">
        <v>97</v>
      </c>
      <c r="N596" s="3" t="s">
        <v>98</v>
      </c>
      <c r="O596" s="3" t="s">
        <v>78</v>
      </c>
      <c r="P596" s="3" t="s">
        <v>79</v>
      </c>
      <c r="Q596" s="3" t="s">
        <v>3014</v>
      </c>
      <c r="S596" s="18">
        <v>22.51</v>
      </c>
      <c r="T596" s="18">
        <v>14.49</v>
      </c>
      <c r="U596" s="18">
        <v>18.97</v>
      </c>
      <c r="V596" s="3" t="s">
        <v>355</v>
      </c>
      <c r="AC596" s="3" t="s">
        <v>81</v>
      </c>
      <c r="AD596" s="6">
        <v>30.776389999999999</v>
      </c>
      <c r="AE596" s="6">
        <v>-98.170001999999997</v>
      </c>
      <c r="AH596" s="3">
        <v>2021</v>
      </c>
      <c r="AI596" s="3">
        <v>4</v>
      </c>
      <c r="AJ596" s="8">
        <v>15</v>
      </c>
      <c r="AK596" s="3">
        <v>2021</v>
      </c>
      <c r="AL596" s="3">
        <v>4</v>
      </c>
      <c r="AM596" s="3">
        <v>16</v>
      </c>
      <c r="AN596" s="29">
        <v>0</v>
      </c>
      <c r="AW596" s="3">
        <v>1500000</v>
      </c>
      <c r="AX596" s="3">
        <v>1620042</v>
      </c>
      <c r="AY596" s="3">
        <v>92.590192930992899</v>
      </c>
      <c r="AZ596" s="3" t="s">
        <v>82</v>
      </c>
      <c r="BB596" s="3" t="s">
        <v>3015</v>
      </c>
      <c r="BC596" s="3" t="s">
        <v>3016</v>
      </c>
      <c r="BD596" s="8">
        <v>0</v>
      </c>
    </row>
    <row r="597" spans="1:56" ht="14.25" customHeight="1" thickBot="1">
      <c r="A597" s="3" t="s">
        <v>3017</v>
      </c>
      <c r="B597" s="3" t="s">
        <v>2792</v>
      </c>
      <c r="C597" s="3" t="s">
        <v>2163</v>
      </c>
      <c r="E597" s="3" t="s">
        <v>71</v>
      </c>
      <c r="F597" s="3">
        <f t="shared" si="4"/>
        <v>1</v>
      </c>
      <c r="G597" s="3" t="s">
        <v>94</v>
      </c>
      <c r="H597" s="3">
        <f t="shared" si="5"/>
        <v>1</v>
      </c>
      <c r="I597" s="3" t="s">
        <v>95</v>
      </c>
      <c r="J597" s="3" t="s">
        <v>185</v>
      </c>
      <c r="M597" s="3" t="s">
        <v>97</v>
      </c>
      <c r="N597" s="3" t="s">
        <v>98</v>
      </c>
      <c r="O597" s="3" t="s">
        <v>78</v>
      </c>
      <c r="P597" s="3" t="s">
        <v>79</v>
      </c>
      <c r="Q597" s="3" t="s">
        <v>3018</v>
      </c>
      <c r="R597" s="3" t="s">
        <v>3019</v>
      </c>
      <c r="S597" s="18">
        <v>0</v>
      </c>
      <c r="T597" s="18">
        <v>13.95</v>
      </c>
      <c r="U597" s="18">
        <v>26.52</v>
      </c>
      <c r="V597" s="3" t="s">
        <v>73</v>
      </c>
      <c r="Z597" s="3" t="s">
        <v>264</v>
      </c>
      <c r="AC597" s="3" t="s">
        <v>102</v>
      </c>
      <c r="AD597" s="6">
        <v>39.422519999999999</v>
      </c>
      <c r="AE597" s="6">
        <v>-111.714358</v>
      </c>
      <c r="AH597" s="3">
        <v>2021</v>
      </c>
      <c r="AI597" s="3">
        <v>7</v>
      </c>
      <c r="AJ597" s="8">
        <v>22</v>
      </c>
      <c r="AK597" s="3">
        <v>2021</v>
      </c>
      <c r="AL597" s="3">
        <v>7</v>
      </c>
      <c r="AM597" s="3">
        <v>28</v>
      </c>
      <c r="AN597" s="29">
        <v>9</v>
      </c>
      <c r="AW597" s="3">
        <v>300000</v>
      </c>
      <c r="AX597" s="3">
        <v>324008</v>
      </c>
      <c r="AY597" s="3">
        <v>92.590192930992899</v>
      </c>
      <c r="AZ597" s="3" t="s">
        <v>89</v>
      </c>
      <c r="BA597" s="3" t="s">
        <v>3020</v>
      </c>
      <c r="BC597" s="3" t="s">
        <v>3021</v>
      </c>
      <c r="BD597" s="8">
        <v>0</v>
      </c>
    </row>
    <row r="598" spans="1:56" ht="14.25" customHeight="1" thickBot="1">
      <c r="A598" s="3" t="s">
        <v>3022</v>
      </c>
      <c r="B598" s="3" t="s">
        <v>2792</v>
      </c>
      <c r="C598" s="3" t="s">
        <v>3023</v>
      </c>
      <c r="E598" s="3" t="s">
        <v>71</v>
      </c>
      <c r="F598" s="3">
        <f t="shared" si="4"/>
        <v>1</v>
      </c>
      <c r="G598" s="3" t="s">
        <v>94</v>
      </c>
      <c r="H598" s="3">
        <f t="shared" si="5"/>
        <v>1</v>
      </c>
      <c r="I598" s="3" t="s">
        <v>95</v>
      </c>
      <c r="M598" s="3" t="s">
        <v>97</v>
      </c>
      <c r="N598" s="3" t="s">
        <v>98</v>
      </c>
      <c r="O598" s="3" t="s">
        <v>78</v>
      </c>
      <c r="P598" s="3" t="s">
        <v>79</v>
      </c>
      <c r="Q598" s="3" t="s">
        <v>3024</v>
      </c>
      <c r="R598" s="3" t="s">
        <v>3025</v>
      </c>
      <c r="S598" s="18">
        <v>10.25</v>
      </c>
      <c r="T598" s="18">
        <v>5.83</v>
      </c>
      <c r="U598" s="18">
        <v>14.09</v>
      </c>
      <c r="V598" s="3" t="s">
        <v>73</v>
      </c>
      <c r="Z598" s="3" t="s">
        <v>264</v>
      </c>
      <c r="AC598" s="3" t="s">
        <v>102</v>
      </c>
      <c r="AD598" s="6">
        <v>19.589559999999999</v>
      </c>
      <c r="AE598" s="6">
        <v>-155.44869800000001</v>
      </c>
      <c r="AH598" s="3">
        <v>2021</v>
      </c>
      <c r="AI598" s="3">
        <v>12</v>
      </c>
      <c r="AJ598" s="8">
        <v>3</v>
      </c>
      <c r="AK598" s="3">
        <v>2021</v>
      </c>
      <c r="AL598" s="3">
        <v>12</v>
      </c>
      <c r="AM598" s="3">
        <v>8</v>
      </c>
      <c r="AN598" s="29">
        <v>0</v>
      </c>
      <c r="AW598" s="3">
        <v>75000</v>
      </c>
      <c r="AX598" s="3">
        <v>81002</v>
      </c>
      <c r="AY598" s="3">
        <v>92.590192930992899</v>
      </c>
      <c r="AZ598" s="3" t="s">
        <v>82</v>
      </c>
      <c r="BB598" s="3" t="s">
        <v>3026</v>
      </c>
      <c r="BC598" s="3" t="s">
        <v>3027</v>
      </c>
      <c r="BD598" s="8">
        <v>0</v>
      </c>
    </row>
    <row r="599" spans="1:56" ht="14.25" customHeight="1" thickBot="1">
      <c r="A599" s="3" t="s">
        <v>3028</v>
      </c>
      <c r="B599" s="3" t="s">
        <v>2792</v>
      </c>
      <c r="C599" s="3" t="s">
        <v>3029</v>
      </c>
      <c r="E599" s="3" t="s">
        <v>71</v>
      </c>
      <c r="F599" s="3">
        <f t="shared" si="4"/>
        <v>2</v>
      </c>
      <c r="G599" s="3" t="s">
        <v>72</v>
      </c>
      <c r="H599" s="3">
        <f t="shared" si="5"/>
        <v>2</v>
      </c>
      <c r="I599" s="3" t="s">
        <v>73</v>
      </c>
      <c r="J599" s="3" t="s">
        <v>74</v>
      </c>
      <c r="K599" s="3" t="s">
        <v>127</v>
      </c>
      <c r="M599" s="3" t="s">
        <v>97</v>
      </c>
      <c r="N599" s="3" t="s">
        <v>98</v>
      </c>
      <c r="O599" s="3" t="s">
        <v>78</v>
      </c>
      <c r="P599" s="3" t="s">
        <v>79</v>
      </c>
      <c r="Q599" s="3" t="s">
        <v>3030</v>
      </c>
      <c r="R599" s="3" t="s">
        <v>3031</v>
      </c>
      <c r="S599" s="18">
        <v>0</v>
      </c>
      <c r="T599" s="18">
        <v>3.81</v>
      </c>
      <c r="U599" s="18">
        <v>11.55</v>
      </c>
      <c r="V599" s="3" t="s">
        <v>114</v>
      </c>
      <c r="AC599" s="3" t="s">
        <v>81</v>
      </c>
      <c r="AD599" s="6">
        <v>35.672960000000003</v>
      </c>
      <c r="AE599" s="6">
        <v>-79.039292000000003</v>
      </c>
      <c r="AH599" s="3">
        <v>2021</v>
      </c>
      <c r="AI599" s="3">
        <v>2</v>
      </c>
      <c r="AJ599" s="8">
        <v>10</v>
      </c>
      <c r="AK599" s="3">
        <v>2021</v>
      </c>
      <c r="AL599" s="3">
        <v>2</v>
      </c>
      <c r="AM599" s="3">
        <v>20</v>
      </c>
      <c r="AN599" s="29">
        <v>235</v>
      </c>
      <c r="AO599" s="3">
        <v>10</v>
      </c>
      <c r="AR599" s="3">
        <v>10</v>
      </c>
      <c r="AU599" s="3">
        <v>15000000</v>
      </c>
      <c r="AV599" s="3">
        <v>16200420</v>
      </c>
      <c r="AW599" s="3">
        <v>30000000</v>
      </c>
      <c r="AX599" s="3">
        <v>32400840</v>
      </c>
      <c r="AY599" s="3">
        <v>92.590192930992899</v>
      </c>
      <c r="AZ599" s="3" t="s">
        <v>89</v>
      </c>
      <c r="BA599" s="3" t="s">
        <v>3032</v>
      </c>
      <c r="BC599" s="3" t="s">
        <v>3033</v>
      </c>
      <c r="BD599" s="8">
        <v>2</v>
      </c>
    </row>
    <row r="600" spans="1:56" ht="14.25" customHeight="1" thickBot="1">
      <c r="A600" s="3" t="s">
        <v>3034</v>
      </c>
      <c r="B600" s="3" t="s">
        <v>2792</v>
      </c>
      <c r="C600" s="3" t="s">
        <v>1470</v>
      </c>
      <c r="E600" s="3" t="s">
        <v>71</v>
      </c>
      <c r="F600" s="3">
        <f t="shared" si="4"/>
        <v>2</v>
      </c>
      <c r="G600" s="3" t="s">
        <v>72</v>
      </c>
      <c r="H600" s="3">
        <f t="shared" si="5"/>
        <v>2</v>
      </c>
      <c r="I600" s="3" t="s">
        <v>73</v>
      </c>
      <c r="J600" s="3" t="s">
        <v>74</v>
      </c>
      <c r="K600" s="3" t="s">
        <v>75</v>
      </c>
      <c r="M600" s="3" t="s">
        <v>97</v>
      </c>
      <c r="N600" s="3" t="s">
        <v>98</v>
      </c>
      <c r="O600" s="3" t="s">
        <v>78</v>
      </c>
      <c r="P600" s="3" t="s">
        <v>79</v>
      </c>
      <c r="Q600" s="3" t="s">
        <v>3035</v>
      </c>
      <c r="S600" s="18">
        <v>9.92</v>
      </c>
      <c r="T600" s="18">
        <v>12.79</v>
      </c>
      <c r="U600" s="18">
        <v>24.96</v>
      </c>
      <c r="V600" s="3" t="s">
        <v>95</v>
      </c>
      <c r="Z600" s="3" t="s">
        <v>264</v>
      </c>
      <c r="AC600" s="3" t="s">
        <v>81</v>
      </c>
      <c r="AD600" s="5">
        <v>33.75731152545</v>
      </c>
      <c r="AE600" s="17">
        <v>-85.865335904851506</v>
      </c>
      <c r="AH600" s="3">
        <v>2021</v>
      </c>
      <c r="AI600" s="3">
        <v>3</v>
      </c>
      <c r="AJ600" s="8">
        <v>24</v>
      </c>
      <c r="AK600" s="3">
        <v>2021</v>
      </c>
      <c r="AL600" s="3">
        <v>3</v>
      </c>
      <c r="AM600" s="3">
        <v>26</v>
      </c>
      <c r="AN600" s="29">
        <v>6</v>
      </c>
      <c r="AW600" s="3">
        <v>1700000</v>
      </c>
      <c r="AX600" s="3">
        <v>1836048</v>
      </c>
      <c r="AY600" s="3">
        <v>92.590192930992899</v>
      </c>
      <c r="AZ600" s="3" t="s">
        <v>206</v>
      </c>
      <c r="BA600" s="3" t="s">
        <v>3036</v>
      </c>
      <c r="BB600" s="3" t="s">
        <v>3037</v>
      </c>
      <c r="BC600" s="3" t="s">
        <v>3038</v>
      </c>
      <c r="BD600" s="8">
        <v>0</v>
      </c>
    </row>
    <row r="601" spans="1:56" ht="14.25" customHeight="1" thickBot="1">
      <c r="A601" s="3" t="s">
        <v>3039</v>
      </c>
      <c r="B601" s="3" t="s">
        <v>2792</v>
      </c>
      <c r="C601" s="3" t="s">
        <v>3040</v>
      </c>
      <c r="E601" s="3" t="s">
        <v>71</v>
      </c>
      <c r="F601" s="3">
        <f t="shared" si="4"/>
        <v>2</v>
      </c>
      <c r="G601" s="3" t="s">
        <v>72</v>
      </c>
      <c r="H601" s="3">
        <f t="shared" si="5"/>
        <v>2</v>
      </c>
      <c r="I601" s="3" t="s">
        <v>73</v>
      </c>
      <c r="J601" s="3" t="s">
        <v>74</v>
      </c>
      <c r="K601" s="3" t="s">
        <v>169</v>
      </c>
      <c r="M601" s="3" t="s">
        <v>97</v>
      </c>
      <c r="N601" s="3" t="s">
        <v>98</v>
      </c>
      <c r="O601" s="3" t="s">
        <v>78</v>
      </c>
      <c r="P601" s="3" t="s">
        <v>79</v>
      </c>
      <c r="Q601" s="3" t="s">
        <v>3041</v>
      </c>
      <c r="S601" s="18">
        <v>0</v>
      </c>
      <c r="T601" s="18">
        <v>14.59</v>
      </c>
      <c r="U601" s="18">
        <v>26.53</v>
      </c>
      <c r="V601" s="3" t="s">
        <v>95</v>
      </c>
      <c r="AC601" s="3" t="s">
        <v>81</v>
      </c>
      <c r="AD601" s="5">
        <v>30.4730636986957</v>
      </c>
      <c r="AE601" s="17">
        <v>-91.173799991624705</v>
      </c>
      <c r="AH601" s="3">
        <v>2021</v>
      </c>
      <c r="AI601" s="3">
        <v>5</v>
      </c>
      <c r="AJ601" s="8">
        <v>14</v>
      </c>
      <c r="AK601" s="3">
        <v>2021</v>
      </c>
      <c r="AL601" s="3">
        <v>5</v>
      </c>
      <c r="AM601" s="3">
        <v>19</v>
      </c>
      <c r="AN601" s="29">
        <v>6</v>
      </c>
      <c r="AP601" s="3">
        <v>250</v>
      </c>
      <c r="AR601" s="3">
        <v>250</v>
      </c>
      <c r="AW601" s="3">
        <v>1300000</v>
      </c>
      <c r="AX601" s="3">
        <v>1404036</v>
      </c>
      <c r="AY601" s="3">
        <v>92.590192930992899</v>
      </c>
      <c r="AZ601" s="3" t="s">
        <v>82</v>
      </c>
      <c r="BB601" s="3" t="s">
        <v>3042</v>
      </c>
      <c r="BC601" s="3" t="s">
        <v>3043</v>
      </c>
      <c r="BD601" s="8">
        <v>3</v>
      </c>
    </row>
    <row r="602" spans="1:56" ht="14.25" customHeight="1" thickBot="1">
      <c r="A602" s="3" t="s">
        <v>3044</v>
      </c>
      <c r="B602" s="3" t="s">
        <v>2792</v>
      </c>
      <c r="C602" s="3" t="s">
        <v>2674</v>
      </c>
      <c r="E602" s="3" t="s">
        <v>71</v>
      </c>
      <c r="F602" s="3">
        <f t="shared" si="4"/>
        <v>2</v>
      </c>
      <c r="G602" s="3" t="s">
        <v>72</v>
      </c>
      <c r="H602" s="3">
        <f t="shared" si="5"/>
        <v>2</v>
      </c>
      <c r="I602" s="3" t="s">
        <v>73</v>
      </c>
      <c r="J602" s="3" t="s">
        <v>212</v>
      </c>
      <c r="L602" s="3" t="s">
        <v>3045</v>
      </c>
      <c r="M602" s="3" t="s">
        <v>97</v>
      </c>
      <c r="N602" s="3" t="s">
        <v>98</v>
      </c>
      <c r="O602" s="3" t="s">
        <v>78</v>
      </c>
      <c r="P602" s="3" t="s">
        <v>79</v>
      </c>
      <c r="Q602" s="3" t="s">
        <v>3046</v>
      </c>
      <c r="S602" s="18">
        <v>0</v>
      </c>
      <c r="T602" s="18">
        <v>11.68</v>
      </c>
      <c r="U602" s="18">
        <v>22.87</v>
      </c>
      <c r="V602" s="3" t="s">
        <v>95</v>
      </c>
      <c r="Z602" s="3" t="s">
        <v>264</v>
      </c>
      <c r="AB602" s="3">
        <v>100</v>
      </c>
      <c r="AC602" s="3" t="s">
        <v>81</v>
      </c>
      <c r="AD602" s="6">
        <v>36.701459999999997</v>
      </c>
      <c r="AE602" s="6">
        <v>-118.75599699999999</v>
      </c>
      <c r="AH602" s="3">
        <v>2021</v>
      </c>
      <c r="AI602" s="3">
        <v>7</v>
      </c>
      <c r="AJ602" s="8">
        <v>2</v>
      </c>
      <c r="AK602" s="3">
        <v>2021</v>
      </c>
      <c r="AL602" s="3">
        <v>7</v>
      </c>
      <c r="AM602" s="3">
        <v>9</v>
      </c>
      <c r="AN602" s="29">
        <v>1</v>
      </c>
      <c r="AO602" s="3">
        <v>9</v>
      </c>
      <c r="AR602" s="3">
        <v>9</v>
      </c>
      <c r="AW602" s="3">
        <v>1200000</v>
      </c>
      <c r="AX602" s="3">
        <v>1296034</v>
      </c>
      <c r="AY602" s="3">
        <v>92.590192930992899</v>
      </c>
      <c r="AZ602" s="3" t="s">
        <v>89</v>
      </c>
      <c r="BA602" s="3" t="s">
        <v>3047</v>
      </c>
      <c r="BC602" s="3" t="s">
        <v>3048</v>
      </c>
      <c r="BD602" s="8">
        <v>1</v>
      </c>
    </row>
    <row r="603" spans="1:56" ht="14.25" customHeight="1" thickBot="1">
      <c r="A603" s="3" t="s">
        <v>3049</v>
      </c>
      <c r="B603" s="3" t="s">
        <v>2792</v>
      </c>
      <c r="C603" s="3" t="s">
        <v>2233</v>
      </c>
      <c r="E603" s="3" t="s">
        <v>71</v>
      </c>
      <c r="F603" s="3">
        <f t="shared" si="4"/>
        <v>2</v>
      </c>
      <c r="G603" s="3" t="s">
        <v>72</v>
      </c>
      <c r="H603" s="3">
        <f t="shared" si="5"/>
        <v>2</v>
      </c>
      <c r="I603" s="3" t="s">
        <v>73</v>
      </c>
      <c r="J603" s="3" t="s">
        <v>212</v>
      </c>
      <c r="L603" s="3" t="s">
        <v>3050</v>
      </c>
      <c r="M603" s="3" t="s">
        <v>97</v>
      </c>
      <c r="N603" s="3" t="s">
        <v>98</v>
      </c>
      <c r="O603" s="3" t="s">
        <v>78</v>
      </c>
      <c r="P603" s="3" t="s">
        <v>79</v>
      </c>
      <c r="Q603" s="3" t="s">
        <v>3051</v>
      </c>
      <c r="S603" s="18">
        <v>0</v>
      </c>
      <c r="T603" s="18">
        <v>19.22</v>
      </c>
      <c r="U603" s="18">
        <v>25.62</v>
      </c>
      <c r="V603" s="3" t="s">
        <v>95</v>
      </c>
      <c r="Z603" s="3" t="s">
        <v>264</v>
      </c>
      <c r="AB603" s="3">
        <v>120</v>
      </c>
      <c r="AC603" s="3" t="s">
        <v>81</v>
      </c>
      <c r="AD603" s="5">
        <v>42.857171617120002</v>
      </c>
      <c r="AE603" s="17">
        <v>-72.638974469744994</v>
      </c>
      <c r="AH603" s="3">
        <v>2021</v>
      </c>
      <c r="AI603" s="3">
        <v>8</v>
      </c>
      <c r="AJ603" s="8">
        <v>20</v>
      </c>
      <c r="AK603" s="3">
        <v>2021</v>
      </c>
      <c r="AL603" s="3">
        <v>8</v>
      </c>
      <c r="AM603" s="3">
        <v>25</v>
      </c>
      <c r="AN603" s="29">
        <v>0</v>
      </c>
      <c r="AP603" s="3">
        <v>86</v>
      </c>
      <c r="AR603" s="3">
        <v>86</v>
      </c>
      <c r="AW603" s="3">
        <v>550000</v>
      </c>
      <c r="AX603" s="3">
        <v>594015</v>
      </c>
      <c r="AY603" s="3">
        <v>92.590192930992899</v>
      </c>
      <c r="AZ603" s="3" t="s">
        <v>89</v>
      </c>
      <c r="BA603" s="3" t="s">
        <v>3052</v>
      </c>
      <c r="BC603" s="3" t="s">
        <v>3053</v>
      </c>
      <c r="BD603" s="8">
        <v>2</v>
      </c>
    </row>
    <row r="604" spans="1:56" ht="14.25" customHeight="1" thickBot="1">
      <c r="A604" s="3" t="s">
        <v>3054</v>
      </c>
      <c r="B604" s="3" t="s">
        <v>2792</v>
      </c>
      <c r="C604" s="3" t="s">
        <v>2759</v>
      </c>
      <c r="E604" s="3" t="s">
        <v>71</v>
      </c>
      <c r="F604" s="3">
        <f t="shared" si="4"/>
        <v>2</v>
      </c>
      <c r="G604" s="3" t="s">
        <v>72</v>
      </c>
      <c r="H604" s="3">
        <f t="shared" si="5"/>
        <v>2</v>
      </c>
      <c r="I604" s="3" t="s">
        <v>73</v>
      </c>
      <c r="J604" s="3" t="s">
        <v>212</v>
      </c>
      <c r="L604" s="3" t="s">
        <v>3055</v>
      </c>
      <c r="M604" s="3" t="s">
        <v>97</v>
      </c>
      <c r="N604" s="3" t="s">
        <v>98</v>
      </c>
      <c r="O604" s="3" t="s">
        <v>78</v>
      </c>
      <c r="P604" s="3" t="s">
        <v>79</v>
      </c>
      <c r="Q604" s="3" t="s">
        <v>3056</v>
      </c>
      <c r="R604" s="3" t="s">
        <v>3057</v>
      </c>
      <c r="S604" s="18">
        <v>114.37</v>
      </c>
      <c r="T604" s="18">
        <v>18.72</v>
      </c>
      <c r="U604" s="18">
        <v>23.1</v>
      </c>
      <c r="V604" s="3" t="s">
        <v>95</v>
      </c>
      <c r="Z604" s="3" t="s">
        <v>264</v>
      </c>
      <c r="AC604" s="3" t="s">
        <v>81</v>
      </c>
      <c r="AD604" s="6">
        <v>35.198219999999999</v>
      </c>
      <c r="AE604" s="6">
        <v>-82.772488999999993</v>
      </c>
      <c r="AG604" s="3" t="s">
        <v>3058</v>
      </c>
      <c r="AH604" s="3">
        <v>2021</v>
      </c>
      <c r="AI604" s="3">
        <v>8</v>
      </c>
      <c r="AJ604" s="8">
        <v>17</v>
      </c>
      <c r="AK604" s="3">
        <v>2021</v>
      </c>
      <c r="AL604" s="3">
        <v>8</v>
      </c>
      <c r="AM604" s="3">
        <v>22</v>
      </c>
      <c r="AN604" s="29">
        <v>7</v>
      </c>
      <c r="AP604" s="3">
        <v>105</v>
      </c>
      <c r="AR604" s="3">
        <v>105</v>
      </c>
      <c r="AW604" s="3">
        <v>1300000</v>
      </c>
      <c r="AX604" s="3">
        <v>1404036</v>
      </c>
      <c r="AY604" s="3">
        <v>92.590192930992899</v>
      </c>
      <c r="AZ604" s="3" t="s">
        <v>206</v>
      </c>
      <c r="BA604" s="3" t="s">
        <v>456</v>
      </c>
      <c r="BB604" s="3" t="s">
        <v>3059</v>
      </c>
      <c r="BC604" s="3" t="s">
        <v>3060</v>
      </c>
      <c r="BD604" s="8">
        <v>3</v>
      </c>
    </row>
    <row r="605" spans="1:56" ht="14.25" customHeight="1" thickBot="1">
      <c r="A605" s="3" t="s">
        <v>3061</v>
      </c>
      <c r="B605" s="3" t="s">
        <v>2792</v>
      </c>
      <c r="C605" s="3" t="s">
        <v>3062</v>
      </c>
      <c r="E605" s="3" t="s">
        <v>71</v>
      </c>
      <c r="F605" s="3">
        <f t="shared" si="4"/>
        <v>2</v>
      </c>
      <c r="G605" s="3" t="s">
        <v>72</v>
      </c>
      <c r="H605" s="3">
        <f t="shared" si="5"/>
        <v>2</v>
      </c>
      <c r="I605" s="3" t="s">
        <v>73</v>
      </c>
      <c r="J605" s="3" t="s">
        <v>212</v>
      </c>
      <c r="L605" s="3" t="s">
        <v>3063</v>
      </c>
      <c r="M605" s="3" t="s">
        <v>97</v>
      </c>
      <c r="N605" s="3" t="s">
        <v>98</v>
      </c>
      <c r="O605" s="3" t="s">
        <v>78</v>
      </c>
      <c r="P605" s="3" t="s">
        <v>79</v>
      </c>
      <c r="Q605" s="3" t="s">
        <v>3064</v>
      </c>
      <c r="S605" s="18">
        <v>6.08</v>
      </c>
      <c r="T605" s="18">
        <v>22.81</v>
      </c>
      <c r="U605" s="18">
        <v>32.36</v>
      </c>
      <c r="V605" s="3" t="s">
        <v>95</v>
      </c>
      <c r="Z605" s="3" t="s">
        <v>264</v>
      </c>
      <c r="AB605" s="3">
        <v>240</v>
      </c>
      <c r="AC605" s="3" t="s">
        <v>81</v>
      </c>
      <c r="AD605" s="6">
        <v>30.87039</v>
      </c>
      <c r="AE605" s="6">
        <v>-92.007126</v>
      </c>
      <c r="AH605" s="3">
        <v>2021</v>
      </c>
      <c r="AI605" s="3">
        <v>8</v>
      </c>
      <c r="AJ605" s="8">
        <v>28</v>
      </c>
      <c r="AK605" s="3">
        <v>2021</v>
      </c>
      <c r="AL605" s="3">
        <v>9</v>
      </c>
      <c r="AM605" s="3">
        <v>2</v>
      </c>
      <c r="AN605" s="29">
        <v>96</v>
      </c>
      <c r="AP605" s="3">
        <v>14000</v>
      </c>
      <c r="AR605" s="3">
        <v>14000</v>
      </c>
      <c r="AU605" s="3">
        <v>36000000</v>
      </c>
      <c r="AV605" s="3">
        <v>38881008</v>
      </c>
      <c r="AW605" s="3">
        <v>65000000</v>
      </c>
      <c r="AX605" s="3">
        <v>70201819</v>
      </c>
      <c r="AY605" s="3">
        <v>92.590192930992899</v>
      </c>
      <c r="AZ605" s="3" t="s">
        <v>89</v>
      </c>
      <c r="BA605" s="3" t="s">
        <v>3065</v>
      </c>
      <c r="BC605" s="3" t="s">
        <v>3066</v>
      </c>
      <c r="BD605" s="8">
        <v>5</v>
      </c>
    </row>
    <row r="606" spans="1:56" ht="14.25" customHeight="1" thickBot="1">
      <c r="A606" s="3" t="s">
        <v>3067</v>
      </c>
      <c r="B606" s="3" t="s">
        <v>2792</v>
      </c>
      <c r="C606" s="3" t="s">
        <v>1023</v>
      </c>
      <c r="E606" s="3" t="s">
        <v>71</v>
      </c>
      <c r="F606" s="3">
        <f t="shared" si="4"/>
        <v>2</v>
      </c>
      <c r="G606" s="3" t="s">
        <v>72</v>
      </c>
      <c r="H606" s="3">
        <f t="shared" si="5"/>
        <v>2</v>
      </c>
      <c r="I606" s="3" t="s">
        <v>73</v>
      </c>
      <c r="J606" s="3" t="s">
        <v>212</v>
      </c>
      <c r="L606" s="3" t="s">
        <v>3068</v>
      </c>
      <c r="M606" s="3" t="s">
        <v>97</v>
      </c>
      <c r="N606" s="3" t="s">
        <v>98</v>
      </c>
      <c r="O606" s="3" t="s">
        <v>78</v>
      </c>
      <c r="P606" s="3" t="s">
        <v>79</v>
      </c>
      <c r="Q606" s="3" t="s">
        <v>3069</v>
      </c>
      <c r="S606" s="18">
        <v>0</v>
      </c>
      <c r="T606" s="18">
        <v>17.25</v>
      </c>
      <c r="U606" s="18">
        <v>33.69</v>
      </c>
      <c r="V606" s="3" t="s">
        <v>95</v>
      </c>
      <c r="AC606" s="3" t="s">
        <v>81</v>
      </c>
      <c r="AD606" s="6">
        <v>31.26389</v>
      </c>
      <c r="AE606" s="6">
        <v>-98.545612000000006</v>
      </c>
      <c r="AH606" s="3">
        <v>2021</v>
      </c>
      <c r="AI606" s="3">
        <v>9</v>
      </c>
      <c r="AJ606" s="8">
        <v>12</v>
      </c>
      <c r="AK606" s="3">
        <v>2021</v>
      </c>
      <c r="AL606" s="3">
        <v>9</v>
      </c>
      <c r="AM606" s="3">
        <v>17</v>
      </c>
      <c r="AN606" s="29">
        <v>0</v>
      </c>
      <c r="AW606" s="3">
        <v>1000000</v>
      </c>
      <c r="AX606" s="3">
        <v>1080028</v>
      </c>
      <c r="AY606" s="3">
        <v>92.590192930992899</v>
      </c>
      <c r="AZ606" s="3" t="s">
        <v>89</v>
      </c>
      <c r="BA606" s="3" t="s">
        <v>2756</v>
      </c>
      <c r="BC606" s="3" t="s">
        <v>2757</v>
      </c>
      <c r="BD606" s="8">
        <v>0</v>
      </c>
    </row>
    <row r="607" spans="1:56" ht="14.25" customHeight="1" thickBot="1">
      <c r="A607" s="3" t="s">
        <v>3070</v>
      </c>
      <c r="B607" s="3" t="s">
        <v>2792</v>
      </c>
      <c r="C607" s="3" t="s">
        <v>1785</v>
      </c>
      <c r="E607" s="3" t="s">
        <v>71</v>
      </c>
      <c r="F607" s="3">
        <f t="shared" si="4"/>
        <v>2</v>
      </c>
      <c r="G607" s="3" t="s">
        <v>72</v>
      </c>
      <c r="H607" s="3">
        <f t="shared" si="5"/>
        <v>2</v>
      </c>
      <c r="I607" s="3" t="s">
        <v>73</v>
      </c>
      <c r="J607" s="3" t="s">
        <v>74</v>
      </c>
      <c r="K607" s="3" t="s">
        <v>169</v>
      </c>
      <c r="M607" s="3" t="s">
        <v>97</v>
      </c>
      <c r="N607" s="3" t="s">
        <v>98</v>
      </c>
      <c r="O607" s="3" t="s">
        <v>78</v>
      </c>
      <c r="P607" s="3" t="s">
        <v>79</v>
      </c>
      <c r="Q607" s="3" t="s">
        <v>3071</v>
      </c>
      <c r="S607" s="18">
        <v>26.9</v>
      </c>
      <c r="T607" s="18">
        <v>13.39</v>
      </c>
      <c r="U607" s="18">
        <v>22.92</v>
      </c>
      <c r="V607" s="3" t="s">
        <v>129</v>
      </c>
      <c r="AC607" s="3" t="s">
        <v>81</v>
      </c>
      <c r="AD607" s="6">
        <v>30.87039</v>
      </c>
      <c r="AE607" s="6">
        <v>-92.007126</v>
      </c>
      <c r="AH607" s="3">
        <v>2021</v>
      </c>
      <c r="AI607" s="3">
        <v>4</v>
      </c>
      <c r="AJ607" s="8">
        <v>13</v>
      </c>
      <c r="AK607" s="3">
        <v>2021</v>
      </c>
      <c r="AL607" s="3">
        <v>4</v>
      </c>
      <c r="AM607" s="3">
        <v>15</v>
      </c>
      <c r="AN607" s="29">
        <v>13</v>
      </c>
      <c r="AW607" s="3">
        <v>215000</v>
      </c>
      <c r="AX607" s="3">
        <v>232206</v>
      </c>
      <c r="AY607" s="3">
        <v>92.590192930992899</v>
      </c>
      <c r="AZ607" s="3" t="s">
        <v>89</v>
      </c>
      <c r="BA607" s="3" t="s">
        <v>3072</v>
      </c>
      <c r="BC607" s="3" t="s">
        <v>3073</v>
      </c>
      <c r="BD607" s="8">
        <v>0</v>
      </c>
    </row>
    <row r="608" spans="1:56" ht="14.25" customHeight="1" thickBot="1">
      <c r="A608" s="3" t="s">
        <v>3074</v>
      </c>
      <c r="B608" s="3" t="s">
        <v>2792</v>
      </c>
      <c r="C608" s="3" t="s">
        <v>409</v>
      </c>
      <c r="E608" s="3" t="s">
        <v>71</v>
      </c>
      <c r="F608" s="3">
        <f t="shared" si="4"/>
        <v>1</v>
      </c>
      <c r="G608" s="3" t="s">
        <v>94</v>
      </c>
      <c r="H608" s="3">
        <f t="shared" si="5"/>
        <v>1</v>
      </c>
      <c r="I608" s="3" t="s">
        <v>95</v>
      </c>
      <c r="M608" s="3" t="s">
        <v>97</v>
      </c>
      <c r="N608" s="3" t="s">
        <v>98</v>
      </c>
      <c r="O608" s="3" t="s">
        <v>78</v>
      </c>
      <c r="P608" s="3" t="s">
        <v>79</v>
      </c>
      <c r="Q608" s="3" t="s">
        <v>3075</v>
      </c>
      <c r="S608" s="18">
        <v>0</v>
      </c>
      <c r="T608" s="16">
        <v>20.59</v>
      </c>
      <c r="U608" s="18">
        <v>33.729999999999997</v>
      </c>
      <c r="V608" s="3" t="s">
        <v>2032</v>
      </c>
      <c r="Z608" s="3" t="s">
        <v>264</v>
      </c>
      <c r="AC608" s="3" t="s">
        <v>102</v>
      </c>
      <c r="AD608" s="5">
        <v>31.786317829095399</v>
      </c>
      <c r="AE608" s="17">
        <v>-106.480864886953</v>
      </c>
      <c r="AH608" s="3">
        <v>2021</v>
      </c>
      <c r="AI608" s="3">
        <v>8</v>
      </c>
      <c r="AJ608" s="8">
        <v>10</v>
      </c>
      <c r="AK608" s="3">
        <v>2021</v>
      </c>
      <c r="AL608" s="3">
        <v>8</v>
      </c>
      <c r="AM608" s="3">
        <v>16</v>
      </c>
      <c r="AN608" s="29">
        <v>3</v>
      </c>
      <c r="AW608" s="3">
        <v>225000</v>
      </c>
      <c r="AX608" s="3">
        <v>243006</v>
      </c>
      <c r="AY608" s="3">
        <v>92.590192930992899</v>
      </c>
      <c r="AZ608" s="3" t="s">
        <v>82</v>
      </c>
      <c r="BB608" s="3" t="s">
        <v>3076</v>
      </c>
      <c r="BC608" s="3" t="s">
        <v>3077</v>
      </c>
      <c r="BD608" s="8">
        <v>0</v>
      </c>
    </row>
    <row r="609" spans="1:56" ht="14.25" customHeight="1" thickBot="1">
      <c r="A609" s="3" t="s">
        <v>3078</v>
      </c>
      <c r="B609" s="3" t="s">
        <v>2792</v>
      </c>
      <c r="C609" s="3" t="s">
        <v>2212</v>
      </c>
      <c r="E609" s="3" t="s">
        <v>71</v>
      </c>
      <c r="F609" s="3">
        <f t="shared" si="4"/>
        <v>2</v>
      </c>
      <c r="G609" s="3" t="s">
        <v>72</v>
      </c>
      <c r="H609" s="3">
        <f t="shared" si="5"/>
        <v>2</v>
      </c>
      <c r="I609" s="3" t="s">
        <v>73</v>
      </c>
      <c r="J609" s="3" t="s">
        <v>74</v>
      </c>
      <c r="K609" s="3" t="s">
        <v>807</v>
      </c>
      <c r="M609" s="3" t="s">
        <v>97</v>
      </c>
      <c r="N609" s="3" t="s">
        <v>98</v>
      </c>
      <c r="O609" s="3" t="s">
        <v>78</v>
      </c>
      <c r="P609" s="3" t="s">
        <v>79</v>
      </c>
      <c r="Q609" s="3" t="s">
        <v>3079</v>
      </c>
      <c r="S609" s="18">
        <v>0</v>
      </c>
      <c r="T609" s="18">
        <v>17.489999999999998</v>
      </c>
      <c r="U609" s="18">
        <v>30.31</v>
      </c>
      <c r="AC609" s="3" t="s">
        <v>81</v>
      </c>
      <c r="AD609" s="6">
        <v>44.430900000000001</v>
      </c>
      <c r="AE609" s="6">
        <v>-89.688463999999996</v>
      </c>
      <c r="AH609" s="3">
        <v>2021</v>
      </c>
      <c r="AI609" s="3">
        <v>8</v>
      </c>
      <c r="AJ609" s="8">
        <v>10</v>
      </c>
      <c r="AK609" s="3">
        <v>2021</v>
      </c>
      <c r="AL609" s="3">
        <v>8</v>
      </c>
      <c r="AM609" s="3">
        <v>13</v>
      </c>
      <c r="AN609" s="29">
        <v>0</v>
      </c>
      <c r="AW609" s="3">
        <v>1300000</v>
      </c>
      <c r="AX609" s="3">
        <v>1404036</v>
      </c>
      <c r="AY609" s="3">
        <v>92.590192930992899</v>
      </c>
      <c r="AZ609" s="3" t="s">
        <v>89</v>
      </c>
      <c r="BA609" s="3" t="s">
        <v>3080</v>
      </c>
      <c r="BC609" s="3" t="s">
        <v>3081</v>
      </c>
      <c r="BD609" s="8">
        <v>0</v>
      </c>
    </row>
    <row r="610" spans="1:56" ht="14.25" customHeight="1" thickBot="1">
      <c r="A610" s="3" t="s">
        <v>3082</v>
      </c>
      <c r="B610" s="3" t="s">
        <v>2792</v>
      </c>
      <c r="C610" s="3" t="s">
        <v>1670</v>
      </c>
      <c r="E610" s="3" t="s">
        <v>71</v>
      </c>
      <c r="F610" s="3">
        <f t="shared" si="4"/>
        <v>2</v>
      </c>
      <c r="G610" s="3" t="s">
        <v>72</v>
      </c>
      <c r="H610" s="3">
        <f t="shared" si="5"/>
        <v>2</v>
      </c>
      <c r="I610" s="3" t="s">
        <v>73</v>
      </c>
      <c r="J610" s="3" t="s">
        <v>74</v>
      </c>
      <c r="K610" s="3" t="s">
        <v>75</v>
      </c>
      <c r="M610" s="3" t="s">
        <v>97</v>
      </c>
      <c r="N610" s="3" t="s">
        <v>98</v>
      </c>
      <c r="O610" s="3" t="s">
        <v>78</v>
      </c>
      <c r="P610" s="3" t="s">
        <v>79</v>
      </c>
      <c r="Q610" s="3" t="s">
        <v>3083</v>
      </c>
      <c r="S610" s="18">
        <v>0</v>
      </c>
      <c r="T610" s="18">
        <v>19.670000000000002</v>
      </c>
      <c r="U610" s="18">
        <v>27.18</v>
      </c>
      <c r="Z610" s="3" t="s">
        <v>264</v>
      </c>
      <c r="AC610" s="3" t="s">
        <v>81</v>
      </c>
      <c r="AD610" s="6">
        <v>30.87039</v>
      </c>
      <c r="AE610" s="6">
        <v>-92.007126</v>
      </c>
      <c r="AH610" s="3">
        <v>2021</v>
      </c>
      <c r="AI610" s="3">
        <v>3</v>
      </c>
      <c r="AJ610" s="8">
        <v>16</v>
      </c>
      <c r="AK610" s="3">
        <v>2021</v>
      </c>
      <c r="AL610" s="3">
        <v>3</v>
      </c>
      <c r="AM610" s="3">
        <v>18</v>
      </c>
      <c r="AN610" s="29">
        <v>0</v>
      </c>
      <c r="AO610" s="3">
        <v>2</v>
      </c>
      <c r="AP610" s="3">
        <v>90</v>
      </c>
      <c r="AR610" s="3">
        <v>92</v>
      </c>
      <c r="AW610" s="3">
        <v>500000</v>
      </c>
      <c r="AX610" s="3">
        <v>540014</v>
      </c>
      <c r="AY610" s="3">
        <v>92.590192930992899</v>
      </c>
      <c r="AZ610" s="3" t="s">
        <v>89</v>
      </c>
      <c r="BA610" s="3" t="s">
        <v>1898</v>
      </c>
      <c r="BC610" s="3" t="s">
        <v>3084</v>
      </c>
      <c r="BD610" s="8">
        <v>2</v>
      </c>
    </row>
    <row r="611" spans="1:56" ht="14.25" customHeight="1" thickBot="1">
      <c r="A611" s="3" t="s">
        <v>3085</v>
      </c>
      <c r="B611" s="3" t="s">
        <v>2792</v>
      </c>
      <c r="C611" s="3" t="s">
        <v>3086</v>
      </c>
      <c r="E611" s="3" t="s">
        <v>71</v>
      </c>
      <c r="F611" s="3">
        <f t="shared" si="4"/>
        <v>2</v>
      </c>
      <c r="G611" s="3" t="s">
        <v>72</v>
      </c>
      <c r="H611" s="3">
        <f t="shared" si="5"/>
        <v>2</v>
      </c>
      <c r="I611" s="3" t="s">
        <v>73</v>
      </c>
      <c r="J611" s="3" t="s">
        <v>74</v>
      </c>
      <c r="K611" s="3" t="s">
        <v>75</v>
      </c>
      <c r="M611" s="3" t="s">
        <v>97</v>
      </c>
      <c r="N611" s="3" t="s">
        <v>98</v>
      </c>
      <c r="O611" s="3" t="s">
        <v>78</v>
      </c>
      <c r="P611" s="3" t="s">
        <v>79</v>
      </c>
      <c r="Q611" s="3" t="s">
        <v>3087</v>
      </c>
      <c r="S611" s="18">
        <v>22.85</v>
      </c>
      <c r="T611" s="18">
        <v>6.87</v>
      </c>
      <c r="U611" s="18">
        <v>22.38</v>
      </c>
      <c r="Z611" s="3" t="s">
        <v>264</v>
      </c>
      <c r="AB611" s="3">
        <v>310</v>
      </c>
      <c r="AC611" s="3" t="s">
        <v>81</v>
      </c>
      <c r="AD611" s="6">
        <v>36.724499999999999</v>
      </c>
      <c r="AE611" s="6">
        <v>-88.656908999999999</v>
      </c>
      <c r="AH611" s="3">
        <v>2021</v>
      </c>
      <c r="AI611" s="3">
        <v>12</v>
      </c>
      <c r="AJ611" s="8">
        <v>10</v>
      </c>
      <c r="AK611" s="3">
        <v>2021</v>
      </c>
      <c r="AL611" s="3">
        <v>12</v>
      </c>
      <c r="AM611" s="3">
        <v>11</v>
      </c>
      <c r="AN611" s="29">
        <v>93</v>
      </c>
      <c r="AO611" s="3">
        <v>100</v>
      </c>
      <c r="AR611" s="3">
        <v>100</v>
      </c>
      <c r="AU611" s="3">
        <v>4000000</v>
      </c>
      <c r="AV611" s="3">
        <v>4320112</v>
      </c>
      <c r="AW611" s="3">
        <v>5200000</v>
      </c>
      <c r="AX611" s="3">
        <v>5616146</v>
      </c>
      <c r="AY611" s="3">
        <v>92.590192930992899</v>
      </c>
      <c r="AZ611" s="3" t="s">
        <v>206</v>
      </c>
      <c r="BA611" s="3" t="s">
        <v>3088</v>
      </c>
      <c r="BB611" s="3" t="s">
        <v>3089</v>
      </c>
      <c r="BC611" s="3" t="s">
        <v>3090</v>
      </c>
      <c r="BD611" s="8">
        <v>3</v>
      </c>
    </row>
    <row r="612" spans="1:56" ht="14.25" customHeight="1" thickBot="1">
      <c r="A612" s="3" t="s">
        <v>3091</v>
      </c>
      <c r="B612" s="3" t="s">
        <v>2792</v>
      </c>
      <c r="C612" s="3" t="s">
        <v>3092</v>
      </c>
      <c r="E612" s="3" t="s">
        <v>71</v>
      </c>
      <c r="F612" s="3">
        <f t="shared" si="4"/>
        <v>2</v>
      </c>
      <c r="G612" s="3" t="s">
        <v>72</v>
      </c>
      <c r="H612" s="3">
        <f t="shared" si="5"/>
        <v>2</v>
      </c>
      <c r="I612" s="3" t="s">
        <v>73</v>
      </c>
      <c r="J612" s="3" t="s">
        <v>74</v>
      </c>
      <c r="K612" s="3" t="s">
        <v>127</v>
      </c>
      <c r="M612" s="3" t="s">
        <v>97</v>
      </c>
      <c r="N612" s="3" t="s">
        <v>98</v>
      </c>
      <c r="O612" s="3" t="s">
        <v>78</v>
      </c>
      <c r="P612" s="3" t="s">
        <v>79</v>
      </c>
      <c r="Q612" s="3" t="s">
        <v>3093</v>
      </c>
      <c r="S612" s="18">
        <v>0</v>
      </c>
      <c r="T612" s="18">
        <v>-9.23</v>
      </c>
      <c r="U612" s="18">
        <v>0.35</v>
      </c>
      <c r="Z612" s="3" t="s">
        <v>264</v>
      </c>
      <c r="AC612" s="3" t="s">
        <v>81</v>
      </c>
      <c r="AD612" s="6">
        <v>40.712730000000001</v>
      </c>
      <c r="AE612" s="6">
        <v>-74.006015000000005</v>
      </c>
      <c r="AH612" s="3">
        <v>2021</v>
      </c>
      <c r="AI612" s="3">
        <v>1</v>
      </c>
      <c r="AJ612" s="8">
        <v>30</v>
      </c>
      <c r="AK612" s="3">
        <v>2021</v>
      </c>
      <c r="AL612" s="3">
        <v>2</v>
      </c>
      <c r="AM612" s="3">
        <v>2</v>
      </c>
      <c r="AN612" s="29">
        <v>4</v>
      </c>
      <c r="AW612" s="3">
        <v>100000</v>
      </c>
      <c r="AX612" s="3">
        <v>108003</v>
      </c>
      <c r="AY612" s="3">
        <v>92.590192930992899</v>
      </c>
      <c r="AZ612" s="3" t="s">
        <v>206</v>
      </c>
      <c r="BA612" s="3" t="s">
        <v>3094</v>
      </c>
      <c r="BB612" s="3" t="s">
        <v>3095</v>
      </c>
      <c r="BC612" s="3" t="s">
        <v>3096</v>
      </c>
      <c r="BD612" s="8">
        <v>0</v>
      </c>
    </row>
    <row r="613" spans="1:56" ht="14.25" customHeight="1" thickBot="1">
      <c r="A613" s="3" t="s">
        <v>3097</v>
      </c>
      <c r="B613" s="3" t="s">
        <v>2792</v>
      </c>
      <c r="C613" s="3" t="s">
        <v>3098</v>
      </c>
      <c r="E613" s="3" t="s">
        <v>71</v>
      </c>
      <c r="F613" s="3">
        <f t="shared" si="4"/>
        <v>2</v>
      </c>
      <c r="G613" s="3" t="s">
        <v>72</v>
      </c>
      <c r="H613" s="3">
        <f t="shared" si="5"/>
        <v>2</v>
      </c>
      <c r="I613" s="3" t="s">
        <v>73</v>
      </c>
      <c r="J613" s="3" t="s">
        <v>74</v>
      </c>
      <c r="K613" s="3" t="s">
        <v>169</v>
      </c>
      <c r="M613" s="3" t="s">
        <v>97</v>
      </c>
      <c r="N613" s="3" t="s">
        <v>98</v>
      </c>
      <c r="O613" s="3" t="s">
        <v>78</v>
      </c>
      <c r="P613" s="3" t="s">
        <v>79</v>
      </c>
      <c r="Q613" s="3" t="s">
        <v>3099</v>
      </c>
      <c r="S613" s="18">
        <v>0</v>
      </c>
      <c r="T613" s="18">
        <v>-1.26</v>
      </c>
      <c r="U613" s="18">
        <v>23.4</v>
      </c>
      <c r="AB613" s="3">
        <v>160</v>
      </c>
      <c r="AC613" s="3" t="s">
        <v>81</v>
      </c>
      <c r="AD613" s="6">
        <v>38.89705</v>
      </c>
      <c r="AE613" s="6">
        <v>-98.798043000000007</v>
      </c>
      <c r="AH613" s="3">
        <v>2021</v>
      </c>
      <c r="AI613" s="3">
        <v>12</v>
      </c>
      <c r="AJ613" s="8">
        <v>15</v>
      </c>
      <c r="AK613" s="3">
        <v>2021</v>
      </c>
      <c r="AL613" s="3">
        <v>12</v>
      </c>
      <c r="AM613" s="3">
        <v>16</v>
      </c>
      <c r="AN613" s="29">
        <v>5</v>
      </c>
      <c r="AP613" s="3">
        <v>120</v>
      </c>
      <c r="AR613" s="3">
        <v>120</v>
      </c>
      <c r="AW613" s="3">
        <v>1900000</v>
      </c>
      <c r="AX613" s="3">
        <v>2052053</v>
      </c>
      <c r="AY613" s="3">
        <v>92.590192930992899</v>
      </c>
      <c r="AZ613" s="3" t="s">
        <v>206</v>
      </c>
      <c r="BA613" s="3" t="s">
        <v>3100</v>
      </c>
      <c r="BB613" s="3" t="s">
        <v>3101</v>
      </c>
      <c r="BC613" s="3" t="s">
        <v>3102</v>
      </c>
      <c r="BD613" s="8">
        <v>3</v>
      </c>
    </row>
    <row r="614" spans="1:56" ht="14.25" customHeight="1" thickBot="1">
      <c r="A614" s="3" t="s">
        <v>3103</v>
      </c>
      <c r="B614" s="3" t="s">
        <v>2792</v>
      </c>
      <c r="C614" s="3" t="s">
        <v>2827</v>
      </c>
      <c r="E614" s="3" t="s">
        <v>71</v>
      </c>
      <c r="F614" s="3">
        <f t="shared" si="4"/>
        <v>1</v>
      </c>
      <c r="G614" s="3" t="s">
        <v>94</v>
      </c>
      <c r="H614" s="3">
        <f t="shared" si="5"/>
        <v>1</v>
      </c>
      <c r="I614" s="3" t="s">
        <v>95</v>
      </c>
      <c r="J614" s="3" t="s">
        <v>185</v>
      </c>
      <c r="M614" s="3" t="s">
        <v>97</v>
      </c>
      <c r="N614" s="3" t="s">
        <v>98</v>
      </c>
      <c r="O614" s="3" t="s">
        <v>78</v>
      </c>
      <c r="P614" s="3" t="s">
        <v>79</v>
      </c>
      <c r="Q614" s="3" t="s">
        <v>3104</v>
      </c>
      <c r="R614" s="3" t="s">
        <v>200</v>
      </c>
      <c r="S614" s="18">
        <v>81.67</v>
      </c>
      <c r="T614" s="18">
        <v>20.45</v>
      </c>
      <c r="U614" s="18">
        <v>28.64</v>
      </c>
      <c r="AC614" s="3" t="s">
        <v>102</v>
      </c>
      <c r="AD614" s="6">
        <v>33.770229999999998</v>
      </c>
      <c r="AE614" s="6">
        <v>-90.851979999999998</v>
      </c>
      <c r="AH614" s="3">
        <v>2021</v>
      </c>
      <c r="AI614" s="3">
        <v>6</v>
      </c>
      <c r="AJ614" s="8">
        <v>7</v>
      </c>
      <c r="AK614" s="3">
        <v>2021</v>
      </c>
      <c r="AL614" s="3">
        <v>6</v>
      </c>
      <c r="AM614" s="3">
        <v>10</v>
      </c>
      <c r="AN614" s="29">
        <v>0</v>
      </c>
      <c r="AP614" s="3">
        <v>636</v>
      </c>
      <c r="AR614" s="3">
        <v>636</v>
      </c>
      <c r="AW614" s="3">
        <v>950000</v>
      </c>
      <c r="AX614" s="3">
        <v>1026027</v>
      </c>
      <c r="AY614" s="3">
        <v>92.590192930992899</v>
      </c>
      <c r="AZ614" s="3" t="s">
        <v>206</v>
      </c>
      <c r="BA614" s="3" t="s">
        <v>2063</v>
      </c>
      <c r="BB614" s="3" t="s">
        <v>3105</v>
      </c>
      <c r="BC614" s="3" t="s">
        <v>3106</v>
      </c>
      <c r="BD614" s="8">
        <v>3</v>
      </c>
    </row>
    <row r="615" spans="1:56" ht="14.25" customHeight="1" thickBot="1">
      <c r="A615" s="3" t="s">
        <v>3107</v>
      </c>
      <c r="B615" s="3" t="s">
        <v>2792</v>
      </c>
      <c r="C615" s="3" t="s">
        <v>3108</v>
      </c>
      <c r="E615" s="3" t="s">
        <v>71</v>
      </c>
      <c r="F615" s="3">
        <f t="shared" si="4"/>
        <v>1</v>
      </c>
      <c r="G615" s="3" t="s">
        <v>94</v>
      </c>
      <c r="H615" s="3">
        <f t="shared" si="5"/>
        <v>1</v>
      </c>
      <c r="I615" s="3" t="s">
        <v>95</v>
      </c>
      <c r="J615" s="3" t="s">
        <v>185</v>
      </c>
      <c r="M615" s="3" t="s">
        <v>97</v>
      </c>
      <c r="N615" s="3" t="s">
        <v>98</v>
      </c>
      <c r="O615" s="3" t="s">
        <v>78</v>
      </c>
      <c r="P615" s="3" t="s">
        <v>79</v>
      </c>
      <c r="Q615" s="3" t="s">
        <v>3109</v>
      </c>
      <c r="R615" s="3" t="s">
        <v>200</v>
      </c>
      <c r="S615" s="18">
        <v>106.83</v>
      </c>
      <c r="T615" s="18">
        <v>21.74</v>
      </c>
      <c r="U615" s="18">
        <v>26.37</v>
      </c>
      <c r="AC615" s="3" t="s">
        <v>102</v>
      </c>
      <c r="AD615" s="6">
        <v>36.14593</v>
      </c>
      <c r="AE615" s="6">
        <v>-87.348059000000006</v>
      </c>
      <c r="AH615" s="3">
        <v>2021</v>
      </c>
      <c r="AI615" s="3">
        <v>8</v>
      </c>
      <c r="AJ615" s="8">
        <v>21</v>
      </c>
      <c r="AK615" s="3">
        <v>2021</v>
      </c>
      <c r="AL615" s="3">
        <v>8</v>
      </c>
      <c r="AM615" s="3">
        <v>22</v>
      </c>
      <c r="AN615" s="29">
        <v>22</v>
      </c>
      <c r="AP615" s="3">
        <v>89</v>
      </c>
      <c r="AR615" s="3">
        <v>89</v>
      </c>
      <c r="AW615" s="3">
        <v>150000</v>
      </c>
      <c r="AX615" s="3">
        <v>162004</v>
      </c>
      <c r="AY615" s="3">
        <v>92.590192930992899</v>
      </c>
      <c r="AZ615" s="3" t="s">
        <v>82</v>
      </c>
      <c r="BB615" s="3" t="s">
        <v>3110</v>
      </c>
      <c r="BC615" s="3" t="s">
        <v>3111</v>
      </c>
      <c r="BD615" s="8">
        <v>2</v>
      </c>
    </row>
    <row r="616" spans="1:56" ht="14.25" customHeight="1" thickBot="1">
      <c r="A616" s="3" t="s">
        <v>3112</v>
      </c>
      <c r="B616" s="3" t="s">
        <v>2792</v>
      </c>
      <c r="C616" s="3" t="s">
        <v>3113</v>
      </c>
      <c r="E616" s="3" t="s">
        <v>71</v>
      </c>
      <c r="F616" s="3">
        <f t="shared" si="4"/>
        <v>1</v>
      </c>
      <c r="G616" s="3" t="s">
        <v>94</v>
      </c>
      <c r="H616" s="3">
        <f t="shared" si="5"/>
        <v>1</v>
      </c>
      <c r="I616" s="3" t="s">
        <v>95</v>
      </c>
      <c r="J616" s="3" t="s">
        <v>185</v>
      </c>
      <c r="M616" s="3" t="s">
        <v>97</v>
      </c>
      <c r="N616" s="3" t="s">
        <v>98</v>
      </c>
      <c r="O616" s="3" t="s">
        <v>78</v>
      </c>
      <c r="P616" s="3" t="s">
        <v>79</v>
      </c>
      <c r="Q616" s="3" t="s">
        <v>3114</v>
      </c>
      <c r="S616" s="18">
        <v>5.61</v>
      </c>
      <c r="T616" s="18">
        <v>18.61</v>
      </c>
      <c r="U616" s="18">
        <v>32.520000000000003</v>
      </c>
      <c r="AC616" s="3" t="s">
        <v>102</v>
      </c>
      <c r="AD616" s="6">
        <v>39.683880000000002</v>
      </c>
      <c r="AE616" s="6">
        <v>-104.92123100000001</v>
      </c>
      <c r="AH616" s="3">
        <v>2021</v>
      </c>
      <c r="AI616" s="3">
        <v>7</v>
      </c>
      <c r="AJ616" s="8">
        <v>30</v>
      </c>
      <c r="AK616" s="3">
        <v>2021</v>
      </c>
      <c r="AL616" s="3">
        <v>8</v>
      </c>
      <c r="AM616" s="3">
        <v>2</v>
      </c>
      <c r="AN616" s="29">
        <v>1</v>
      </c>
      <c r="AP616" s="3">
        <v>600</v>
      </c>
      <c r="AR616" s="3">
        <v>600</v>
      </c>
      <c r="AW616" s="3">
        <v>25000</v>
      </c>
      <c r="AX616" s="3">
        <v>27001</v>
      </c>
      <c r="AY616" s="3">
        <v>92.590192930992899</v>
      </c>
      <c r="AZ616" s="3" t="s">
        <v>89</v>
      </c>
      <c r="BA616" s="3" t="s">
        <v>3115</v>
      </c>
      <c r="BC616" s="3" t="s">
        <v>3116</v>
      </c>
      <c r="BD616" s="8">
        <v>3</v>
      </c>
    </row>
    <row r="617" spans="1:56" ht="14.25" customHeight="1" thickBot="1">
      <c r="A617" s="3" t="s">
        <v>3117</v>
      </c>
      <c r="B617" s="3" t="s">
        <v>2792</v>
      </c>
      <c r="C617" s="3" t="s">
        <v>3118</v>
      </c>
      <c r="E617" s="3" t="s">
        <v>71</v>
      </c>
      <c r="F617" s="3">
        <f t="shared" si="4"/>
        <v>1</v>
      </c>
      <c r="G617" s="3" t="s">
        <v>94</v>
      </c>
      <c r="H617" s="3">
        <f t="shared" si="5"/>
        <v>1</v>
      </c>
      <c r="I617" s="3" t="s">
        <v>95</v>
      </c>
      <c r="J617" s="3" t="s">
        <v>185</v>
      </c>
      <c r="M617" s="3" t="s">
        <v>97</v>
      </c>
      <c r="N617" s="3" t="s">
        <v>98</v>
      </c>
      <c r="O617" s="3" t="s">
        <v>78</v>
      </c>
      <c r="P617" s="3" t="s">
        <v>79</v>
      </c>
      <c r="Q617" s="3" t="s">
        <v>3119</v>
      </c>
      <c r="S617" s="18">
        <v>0</v>
      </c>
      <c r="T617" s="18">
        <v>20.83</v>
      </c>
      <c r="U617" s="18">
        <v>30.72</v>
      </c>
      <c r="Z617" s="3" t="s">
        <v>264</v>
      </c>
      <c r="AC617" s="3" t="s">
        <v>102</v>
      </c>
      <c r="AD617" s="6">
        <v>29.834769999999999</v>
      </c>
      <c r="AE617" s="6">
        <v>-94.170450000000002</v>
      </c>
      <c r="AH617" s="3">
        <v>2021</v>
      </c>
      <c r="AI617" s="3">
        <v>10</v>
      </c>
      <c r="AJ617" s="8">
        <v>4</v>
      </c>
      <c r="AK617" s="3">
        <v>2021</v>
      </c>
      <c r="AL617" s="3">
        <v>10</v>
      </c>
      <c r="AM617" s="3">
        <v>7</v>
      </c>
      <c r="AN617" s="29">
        <v>4</v>
      </c>
      <c r="AW617" s="3">
        <v>325000</v>
      </c>
      <c r="AX617" s="3">
        <v>351009</v>
      </c>
      <c r="AY617" s="3">
        <v>92.590192930992899</v>
      </c>
      <c r="AZ617" s="3" t="s">
        <v>82</v>
      </c>
      <c r="BB617" s="3" t="s">
        <v>3120</v>
      </c>
      <c r="BC617" s="3" t="s">
        <v>3121</v>
      </c>
      <c r="BD617" s="8">
        <v>0</v>
      </c>
    </row>
    <row r="618" spans="1:56" ht="14.25" customHeight="1" thickBot="1">
      <c r="A618" s="3" t="s">
        <v>3122</v>
      </c>
      <c r="B618" s="3" t="s">
        <v>2792</v>
      </c>
      <c r="C618" s="3" t="s">
        <v>3123</v>
      </c>
      <c r="E618" s="3" t="s">
        <v>71</v>
      </c>
      <c r="F618" s="3">
        <f t="shared" si="4"/>
        <v>2</v>
      </c>
      <c r="G618" s="3" t="s">
        <v>72</v>
      </c>
      <c r="H618" s="3">
        <f t="shared" si="5"/>
        <v>4</v>
      </c>
      <c r="I618" s="3" t="s">
        <v>219</v>
      </c>
      <c r="J618" s="3" t="s">
        <v>220</v>
      </c>
      <c r="M618" s="3" t="s">
        <v>97</v>
      </c>
      <c r="N618" s="3" t="s">
        <v>98</v>
      </c>
      <c r="O618" s="3" t="s">
        <v>78</v>
      </c>
      <c r="P618" s="3" t="s">
        <v>79</v>
      </c>
      <c r="Q618" s="3" t="s">
        <v>3124</v>
      </c>
      <c r="S618" s="18">
        <v>0</v>
      </c>
      <c r="T618" s="18">
        <v>13.61</v>
      </c>
      <c r="U618" s="18">
        <v>35.49</v>
      </c>
      <c r="AB618" s="3">
        <v>47</v>
      </c>
      <c r="AC618" s="3" t="s">
        <v>222</v>
      </c>
      <c r="AD618" s="6">
        <v>43.979280000000003</v>
      </c>
      <c r="AE618" s="6">
        <v>-120.737257</v>
      </c>
      <c r="AH618" s="3">
        <v>2021</v>
      </c>
      <c r="AI618" s="3">
        <v>6</v>
      </c>
      <c r="AJ618" s="8">
        <v>26</v>
      </c>
      <c r="AK618" s="3">
        <v>2021</v>
      </c>
      <c r="AL618" s="3">
        <v>6</v>
      </c>
      <c r="AM618" s="3">
        <v>30</v>
      </c>
      <c r="AN618" s="29">
        <v>229</v>
      </c>
      <c r="AY618" s="3">
        <v>92.590192930992899</v>
      </c>
      <c r="AZ618" s="3" t="s">
        <v>89</v>
      </c>
      <c r="BA618" s="3" t="s">
        <v>3125</v>
      </c>
      <c r="BC618" s="3" t="s">
        <v>3126</v>
      </c>
      <c r="BD618" s="8">
        <v>0</v>
      </c>
    </row>
    <row r="619" spans="1:56" ht="14.25" customHeight="1" thickBot="1">
      <c r="A619" s="3" t="s">
        <v>3127</v>
      </c>
      <c r="B619" s="3" t="s">
        <v>2792</v>
      </c>
      <c r="C619" s="3" t="s">
        <v>218</v>
      </c>
      <c r="E619" s="3" t="s">
        <v>71</v>
      </c>
      <c r="F619" s="3">
        <f t="shared" si="4"/>
        <v>3</v>
      </c>
      <c r="G619" s="3" t="s">
        <v>119</v>
      </c>
      <c r="H619" s="3">
        <f t="shared" si="5"/>
        <v>3</v>
      </c>
      <c r="I619" s="3" t="s">
        <v>122</v>
      </c>
      <c r="J619" s="3" t="s">
        <v>227</v>
      </c>
      <c r="L619" s="3" t="s">
        <v>3128</v>
      </c>
      <c r="M619" s="3" t="s">
        <v>97</v>
      </c>
      <c r="N619" s="3" t="s">
        <v>98</v>
      </c>
      <c r="O619" s="3" t="s">
        <v>78</v>
      </c>
      <c r="P619" s="3" t="s">
        <v>79</v>
      </c>
      <c r="Q619" s="3" t="s">
        <v>3129</v>
      </c>
      <c r="R619" s="3" t="s">
        <v>3130</v>
      </c>
      <c r="S619" s="18">
        <v>0</v>
      </c>
      <c r="T619" s="18">
        <v>14.4</v>
      </c>
      <c r="U619" s="18">
        <v>34.4</v>
      </c>
      <c r="AC619" s="3" t="s">
        <v>102</v>
      </c>
      <c r="AD619" s="6">
        <v>39.943100000000001</v>
      </c>
      <c r="AE619" s="6">
        <v>-120.805952</v>
      </c>
      <c r="AH619" s="3">
        <v>2021</v>
      </c>
      <c r="AI619" s="3">
        <v>7</v>
      </c>
      <c r="AJ619" s="8">
        <v>13</v>
      </c>
      <c r="AK619" s="3">
        <v>2021</v>
      </c>
      <c r="AL619" s="3">
        <v>8</v>
      </c>
      <c r="AM619" s="3">
        <v>11</v>
      </c>
      <c r="AN619" s="29">
        <v>3</v>
      </c>
      <c r="AO619" s="3">
        <v>13</v>
      </c>
      <c r="AP619" s="3">
        <v>36</v>
      </c>
      <c r="AQ619" s="3">
        <v>1212</v>
      </c>
      <c r="AR619" s="3">
        <v>1261</v>
      </c>
      <c r="AW619" s="3">
        <v>3000000</v>
      </c>
      <c r="AX619" s="3">
        <v>3240084</v>
      </c>
      <c r="AY619" s="3">
        <v>92.590192930992899</v>
      </c>
      <c r="AZ619" s="3" t="s">
        <v>82</v>
      </c>
      <c r="BB619" s="3" t="s">
        <v>3131</v>
      </c>
      <c r="BC619" s="3" t="s">
        <v>3132</v>
      </c>
      <c r="BD619" s="8">
        <v>4</v>
      </c>
    </row>
    <row r="620" spans="1:56" ht="14.25" customHeight="1" thickBot="1">
      <c r="A620" s="3" t="s">
        <v>3133</v>
      </c>
      <c r="B620" s="3" t="s">
        <v>2792</v>
      </c>
      <c r="C620" s="3" t="s">
        <v>3134</v>
      </c>
      <c r="E620" s="3" t="s">
        <v>71</v>
      </c>
      <c r="F620" s="3">
        <f t="shared" si="4"/>
        <v>3</v>
      </c>
      <c r="G620" s="3" t="s">
        <v>119</v>
      </c>
      <c r="H620" s="3">
        <f t="shared" si="5"/>
        <v>3</v>
      </c>
      <c r="I620" s="3" t="s">
        <v>122</v>
      </c>
      <c r="J620" s="3" t="s">
        <v>227</v>
      </c>
      <c r="L620" s="3" t="s">
        <v>3135</v>
      </c>
      <c r="M620" s="3" t="s">
        <v>97</v>
      </c>
      <c r="N620" s="3" t="s">
        <v>98</v>
      </c>
      <c r="O620" s="3" t="s">
        <v>78</v>
      </c>
      <c r="P620" s="3" t="s">
        <v>79</v>
      </c>
      <c r="Q620" s="3" t="s">
        <v>3136</v>
      </c>
      <c r="S620" s="18">
        <v>0</v>
      </c>
      <c r="T620" s="18">
        <v>19.71</v>
      </c>
      <c r="U620" s="18">
        <v>35.200000000000003</v>
      </c>
      <c r="AC620" s="3" t="s">
        <v>102</v>
      </c>
      <c r="AD620" s="6">
        <v>38.75741</v>
      </c>
      <c r="AE620" s="6">
        <v>-120.527613</v>
      </c>
      <c r="AH620" s="3">
        <v>2021</v>
      </c>
      <c r="AI620" s="3">
        <v>8</v>
      </c>
      <c r="AJ620" s="8">
        <v>13</v>
      </c>
      <c r="AK620" s="3">
        <v>2021</v>
      </c>
      <c r="AL620" s="3">
        <v>8</v>
      </c>
      <c r="AM620" s="3">
        <v>31</v>
      </c>
      <c r="AN620" s="29">
        <v>0</v>
      </c>
      <c r="AQ620" s="3">
        <v>2136</v>
      </c>
      <c r="AR620" s="3">
        <v>2136</v>
      </c>
      <c r="AW620" s="3">
        <v>1500000</v>
      </c>
      <c r="AX620" s="3">
        <v>1620042</v>
      </c>
      <c r="AY620" s="3">
        <v>92.590192930992899</v>
      </c>
      <c r="AZ620" s="3" t="s">
        <v>82</v>
      </c>
      <c r="BB620" s="3" t="s">
        <v>3137</v>
      </c>
      <c r="BC620" s="3" t="s">
        <v>3138</v>
      </c>
      <c r="BD620" s="8">
        <v>4</v>
      </c>
    </row>
    <row r="621" spans="1:56" ht="14.25" customHeight="1" thickBot="1">
      <c r="A621" s="3" t="s">
        <v>3139</v>
      </c>
      <c r="B621" s="3" t="s">
        <v>2792</v>
      </c>
      <c r="C621" s="3" t="s">
        <v>2325</v>
      </c>
      <c r="E621" s="3" t="s">
        <v>71</v>
      </c>
      <c r="F621" s="3">
        <f t="shared" si="4"/>
        <v>1</v>
      </c>
      <c r="G621" s="3" t="s">
        <v>94</v>
      </c>
      <c r="H621" s="3">
        <f t="shared" si="5"/>
        <v>1</v>
      </c>
      <c r="I621" s="3" t="s">
        <v>95</v>
      </c>
      <c r="M621" s="3" t="s">
        <v>97</v>
      </c>
      <c r="N621" s="3" t="s">
        <v>98</v>
      </c>
      <c r="O621" s="3" t="s">
        <v>78</v>
      </c>
      <c r="P621" s="3" t="s">
        <v>79</v>
      </c>
      <c r="Q621" s="3" t="s">
        <v>3140</v>
      </c>
      <c r="R621" s="3" t="s">
        <v>200</v>
      </c>
      <c r="S621" s="18">
        <v>68.67</v>
      </c>
      <c r="T621" s="18">
        <v>5.51</v>
      </c>
      <c r="U621" s="18">
        <v>11.49</v>
      </c>
      <c r="Z621" s="3" t="s">
        <v>264</v>
      </c>
      <c r="AC621" s="3" t="s">
        <v>102</v>
      </c>
      <c r="AD621" s="6">
        <v>19.593800000000002</v>
      </c>
      <c r="AE621" s="6">
        <v>-155.42837</v>
      </c>
      <c r="AH621" s="3">
        <v>2021</v>
      </c>
      <c r="AI621" s="3">
        <v>3</v>
      </c>
      <c r="AJ621" s="8">
        <v>8</v>
      </c>
      <c r="AK621" s="3">
        <v>2021</v>
      </c>
      <c r="AL621" s="3">
        <v>3</v>
      </c>
      <c r="AM621" s="3">
        <v>10</v>
      </c>
      <c r="AN621" s="29">
        <v>1</v>
      </c>
      <c r="AW621" s="3">
        <v>50000</v>
      </c>
      <c r="AX621" s="3">
        <v>54001</v>
      </c>
      <c r="AY621" s="3">
        <v>92.590192930992899</v>
      </c>
      <c r="AZ621" s="3" t="s">
        <v>82</v>
      </c>
      <c r="BB621" s="3" t="s">
        <v>3141</v>
      </c>
      <c r="BC621" s="3" t="s">
        <v>3142</v>
      </c>
      <c r="BD621" s="8">
        <v>0</v>
      </c>
    </row>
    <row r="622" spans="1:56" ht="14.25" customHeight="1" thickBot="1">
      <c r="A622" s="3" t="s">
        <v>3143</v>
      </c>
      <c r="B622" s="3" t="s">
        <v>2792</v>
      </c>
      <c r="C622" s="3" t="s">
        <v>3144</v>
      </c>
      <c r="E622" s="3" t="s">
        <v>71</v>
      </c>
      <c r="F622" s="3">
        <f t="shared" si="4"/>
        <v>1</v>
      </c>
      <c r="G622" s="3" t="s">
        <v>94</v>
      </c>
      <c r="H622" s="3">
        <f t="shared" si="5"/>
        <v>1</v>
      </c>
      <c r="I622" s="3" t="s">
        <v>95</v>
      </c>
      <c r="M622" s="3" t="s">
        <v>97</v>
      </c>
      <c r="N622" s="3" t="s">
        <v>98</v>
      </c>
      <c r="O622" s="3" t="s">
        <v>78</v>
      </c>
      <c r="P622" s="3" t="s">
        <v>79</v>
      </c>
      <c r="Q622" s="3" t="s">
        <v>3145</v>
      </c>
      <c r="R622" s="3" t="s">
        <v>200</v>
      </c>
      <c r="S622" s="18">
        <v>17.86</v>
      </c>
      <c r="T622" s="18">
        <v>11.01</v>
      </c>
      <c r="U622" s="18">
        <v>25.14</v>
      </c>
      <c r="AC622" s="3" t="s">
        <v>102</v>
      </c>
      <c r="AD622" s="6">
        <v>35.790239999999997</v>
      </c>
      <c r="AE622" s="6">
        <v>-80.211505000000002</v>
      </c>
      <c r="AH622" s="3">
        <v>2021</v>
      </c>
      <c r="AI622" s="3">
        <v>3</v>
      </c>
      <c r="AJ622" s="8">
        <v>27</v>
      </c>
      <c r="AK622" s="3">
        <v>2021</v>
      </c>
      <c r="AL622" s="3">
        <v>3</v>
      </c>
      <c r="AM622" s="3">
        <v>28</v>
      </c>
      <c r="AN622" s="29">
        <v>8</v>
      </c>
      <c r="AW622" s="3">
        <v>1300000</v>
      </c>
      <c r="AX622" s="3">
        <v>1404036</v>
      </c>
      <c r="AY622" s="3">
        <v>92.590192930992899</v>
      </c>
      <c r="AZ622" s="3" t="s">
        <v>206</v>
      </c>
      <c r="BA622" s="3" t="s">
        <v>3146</v>
      </c>
      <c r="BB622" s="3" t="s">
        <v>3147</v>
      </c>
      <c r="BC622" s="3" t="s">
        <v>3148</v>
      </c>
      <c r="BD622" s="8">
        <v>0</v>
      </c>
    </row>
    <row r="623" spans="1:56" ht="14.25" customHeight="1" thickBot="1">
      <c r="A623" s="3" t="s">
        <v>3149</v>
      </c>
      <c r="B623" s="3" t="s">
        <v>2792</v>
      </c>
      <c r="C623" s="3" t="s">
        <v>3150</v>
      </c>
      <c r="E623" s="3" t="s">
        <v>71</v>
      </c>
      <c r="F623" s="3">
        <f t="shared" si="4"/>
        <v>3</v>
      </c>
      <c r="G623" s="3" t="s">
        <v>119</v>
      </c>
      <c r="H623" s="3">
        <f t="shared" si="5"/>
        <v>3</v>
      </c>
      <c r="I623" s="3" t="s">
        <v>122</v>
      </c>
      <c r="L623" s="3" t="s">
        <v>3151</v>
      </c>
      <c r="M623" s="3" t="s">
        <v>97</v>
      </c>
      <c r="N623" s="3" t="s">
        <v>98</v>
      </c>
      <c r="O623" s="3" t="s">
        <v>78</v>
      </c>
      <c r="P623" s="3" t="s">
        <v>79</v>
      </c>
      <c r="Q623" s="3" t="s">
        <v>3152</v>
      </c>
      <c r="S623" s="18">
        <v>0</v>
      </c>
      <c r="T623" s="18">
        <v>14.08</v>
      </c>
      <c r="U623" s="18">
        <v>31.41</v>
      </c>
      <c r="AC623" s="3" t="s">
        <v>102</v>
      </c>
      <c r="AD623" s="5">
        <v>34.224419049626697</v>
      </c>
      <c r="AE623" s="17">
        <v>-111.354027454315</v>
      </c>
      <c r="AH623" s="3">
        <v>2021</v>
      </c>
      <c r="AI623" s="3">
        <v>6</v>
      </c>
      <c r="AJ623" s="8">
        <v>6</v>
      </c>
      <c r="AK623" s="3">
        <v>2021</v>
      </c>
      <c r="AL623" s="3">
        <v>7</v>
      </c>
      <c r="AM623" s="3">
        <v>4</v>
      </c>
      <c r="AN623" s="29">
        <v>0</v>
      </c>
      <c r="AO623" s="3">
        <v>25</v>
      </c>
      <c r="AP623" s="3">
        <v>30</v>
      </c>
      <c r="AQ623" s="3">
        <v>123</v>
      </c>
      <c r="AR623" s="3">
        <v>178</v>
      </c>
      <c r="AW623" s="3">
        <v>10000</v>
      </c>
      <c r="AX623" s="3">
        <v>10800</v>
      </c>
      <c r="AY623" s="3">
        <v>92.590192930992899</v>
      </c>
      <c r="AZ623" s="3" t="s">
        <v>206</v>
      </c>
      <c r="BA623" s="3" t="s">
        <v>3153</v>
      </c>
      <c r="BB623" s="3" t="s">
        <v>3154</v>
      </c>
      <c r="BC623" s="3" t="s">
        <v>3155</v>
      </c>
      <c r="BD623" s="8">
        <v>3</v>
      </c>
    </row>
    <row r="624" spans="1:56" ht="14.25" customHeight="1" thickBot="1">
      <c r="A624" s="3" t="s">
        <v>3156</v>
      </c>
      <c r="B624" s="3" t="s">
        <v>2792</v>
      </c>
      <c r="C624" s="3" t="s">
        <v>1857</v>
      </c>
      <c r="E624" s="3" t="s">
        <v>71</v>
      </c>
      <c r="F624" s="3">
        <f t="shared" si="4"/>
        <v>3</v>
      </c>
      <c r="G624" s="3" t="s">
        <v>119</v>
      </c>
      <c r="H624" s="3">
        <f t="shared" si="5"/>
        <v>3</v>
      </c>
      <c r="I624" s="3" t="s">
        <v>122</v>
      </c>
      <c r="L624" s="3" t="s">
        <v>3157</v>
      </c>
      <c r="M624" s="3" t="s">
        <v>97</v>
      </c>
      <c r="N624" s="3" t="s">
        <v>98</v>
      </c>
      <c r="O624" s="3" t="s">
        <v>78</v>
      </c>
      <c r="P624" s="3" t="s">
        <v>79</v>
      </c>
      <c r="Q624" s="3" t="s">
        <v>3158</v>
      </c>
      <c r="S624" s="18">
        <v>0</v>
      </c>
      <c r="T624" s="18">
        <v>22.1</v>
      </c>
      <c r="U624" s="18">
        <v>41.41</v>
      </c>
      <c r="AC624" s="3" t="s">
        <v>102</v>
      </c>
      <c r="AD624" s="6">
        <v>34.395339999999997</v>
      </c>
      <c r="AE624" s="6">
        <v>-111.76327499999999</v>
      </c>
      <c r="AH624" s="3">
        <v>2021</v>
      </c>
      <c r="AI624" s="3">
        <v>7</v>
      </c>
      <c r="AJ624" s="8">
        <v>6</v>
      </c>
      <c r="AK624" s="3">
        <v>2021</v>
      </c>
      <c r="AL624" s="3">
        <v>7</v>
      </c>
      <c r="AM624" s="3">
        <v>31</v>
      </c>
      <c r="AN624" s="29">
        <v>0</v>
      </c>
      <c r="AQ624" s="3">
        <v>483</v>
      </c>
      <c r="AR624" s="3">
        <v>483</v>
      </c>
      <c r="AW624" s="3">
        <v>325000</v>
      </c>
      <c r="AX624" s="3">
        <v>351009</v>
      </c>
      <c r="AY624" s="3">
        <v>92.590192930992899</v>
      </c>
      <c r="AZ624" s="3" t="s">
        <v>89</v>
      </c>
      <c r="BA624" s="3" t="s">
        <v>3159</v>
      </c>
      <c r="BC624" s="3" t="s">
        <v>3160</v>
      </c>
      <c r="BD624" s="8">
        <v>3</v>
      </c>
    </row>
    <row r="625" spans="1:56" ht="14.25" customHeight="1" thickBot="1">
      <c r="A625" s="3" t="s">
        <v>3161</v>
      </c>
      <c r="B625" s="3" t="s">
        <v>2792</v>
      </c>
      <c r="C625" s="3" t="s">
        <v>1698</v>
      </c>
      <c r="E625" s="3" t="s">
        <v>71</v>
      </c>
      <c r="F625" s="3">
        <f t="shared" si="4"/>
        <v>3</v>
      </c>
      <c r="G625" s="3" t="s">
        <v>119</v>
      </c>
      <c r="H625" s="3">
        <f t="shared" si="5"/>
        <v>3</v>
      </c>
      <c r="I625" s="3" t="s">
        <v>122</v>
      </c>
      <c r="L625" s="3" t="s">
        <v>3162</v>
      </c>
      <c r="M625" s="3" t="s">
        <v>97</v>
      </c>
      <c r="N625" s="3" t="s">
        <v>98</v>
      </c>
      <c r="O625" s="3" t="s">
        <v>78</v>
      </c>
      <c r="P625" s="3" t="s">
        <v>79</v>
      </c>
      <c r="Q625" s="3" t="s">
        <v>3163</v>
      </c>
      <c r="S625" s="18">
        <v>0</v>
      </c>
      <c r="T625" s="18">
        <v>15.74</v>
      </c>
      <c r="U625" s="18">
        <v>34.57</v>
      </c>
      <c r="AC625" s="3" t="s">
        <v>102</v>
      </c>
      <c r="AD625" s="5">
        <v>40.608830708083303</v>
      </c>
      <c r="AE625" s="17">
        <v>-122.309912092476</v>
      </c>
      <c r="AH625" s="3">
        <v>2021</v>
      </c>
      <c r="AI625" s="3">
        <v>9</v>
      </c>
      <c r="AJ625" s="8">
        <v>22</v>
      </c>
      <c r="AK625" s="3">
        <v>2021</v>
      </c>
      <c r="AL625" s="3">
        <v>9</v>
      </c>
      <c r="AM625" s="3">
        <v>30</v>
      </c>
      <c r="AN625" s="29">
        <v>0</v>
      </c>
      <c r="AP625" s="3">
        <v>63</v>
      </c>
      <c r="AQ625" s="3">
        <v>315</v>
      </c>
      <c r="AR625" s="3">
        <v>378</v>
      </c>
      <c r="AY625" s="3">
        <v>92.590192930992899</v>
      </c>
      <c r="AZ625" s="3" t="s">
        <v>82</v>
      </c>
      <c r="BB625" s="3" t="s">
        <v>907</v>
      </c>
      <c r="BC625" s="3" t="s">
        <v>908</v>
      </c>
      <c r="BD625" s="8">
        <v>3</v>
      </c>
    </row>
    <row r="626" spans="1:56" ht="14.25" customHeight="1" thickBot="1">
      <c r="A626" s="3" t="s">
        <v>3164</v>
      </c>
      <c r="B626" s="3" t="s">
        <v>2792</v>
      </c>
      <c r="C626" s="3" t="s">
        <v>739</v>
      </c>
      <c r="E626" s="3" t="s">
        <v>71</v>
      </c>
      <c r="F626" s="3">
        <f t="shared" si="4"/>
        <v>1</v>
      </c>
      <c r="G626" s="3" t="s">
        <v>94</v>
      </c>
      <c r="H626" s="3">
        <f t="shared" si="5"/>
        <v>1</v>
      </c>
      <c r="I626" s="3" t="s">
        <v>95</v>
      </c>
      <c r="M626" s="3" t="s">
        <v>97</v>
      </c>
      <c r="N626" s="3" t="s">
        <v>98</v>
      </c>
      <c r="O626" s="3" t="s">
        <v>78</v>
      </c>
      <c r="P626" s="3" t="s">
        <v>79</v>
      </c>
      <c r="Q626" s="3" t="s">
        <v>3165</v>
      </c>
      <c r="R626" s="3" t="s">
        <v>200</v>
      </c>
      <c r="S626" s="18">
        <v>0</v>
      </c>
      <c r="T626" s="18">
        <v>1.96</v>
      </c>
      <c r="U626" s="18">
        <v>6.65</v>
      </c>
      <c r="Z626" s="3" t="s">
        <v>264</v>
      </c>
      <c r="AC626" s="3" t="s">
        <v>102</v>
      </c>
      <c r="AD626" s="6">
        <v>38.254240000000003</v>
      </c>
      <c r="AE626" s="6">
        <v>-85.759406999999996</v>
      </c>
      <c r="AH626" s="3">
        <v>2021</v>
      </c>
      <c r="AI626" s="3">
        <v>11</v>
      </c>
      <c r="AJ626" s="8">
        <v>13</v>
      </c>
      <c r="AK626" s="3">
        <v>2021</v>
      </c>
      <c r="AL626" s="3">
        <v>11</v>
      </c>
      <c r="AM626" s="3">
        <v>15</v>
      </c>
      <c r="AN626" s="29">
        <v>1</v>
      </c>
      <c r="AP626" s="3">
        <v>500</v>
      </c>
      <c r="AR626" s="3">
        <v>500</v>
      </c>
      <c r="AW626" s="3">
        <v>200000</v>
      </c>
      <c r="AX626" s="3">
        <v>216006</v>
      </c>
      <c r="AY626" s="3">
        <v>92.590192930992899</v>
      </c>
      <c r="AZ626" s="3" t="s">
        <v>82</v>
      </c>
      <c r="BB626" s="3" t="s">
        <v>3166</v>
      </c>
      <c r="BC626" s="3" t="s">
        <v>3167</v>
      </c>
      <c r="BD626" s="8">
        <v>3</v>
      </c>
    </row>
    <row r="627" spans="1:56" ht="14.25" customHeight="1" thickBot="1">
      <c r="A627" s="3" t="s">
        <v>3168</v>
      </c>
      <c r="B627" s="3" t="s">
        <v>2792</v>
      </c>
      <c r="C627" s="3" t="s">
        <v>3169</v>
      </c>
      <c r="E627" s="3" t="s">
        <v>71</v>
      </c>
      <c r="F627" s="3">
        <f t="shared" si="4"/>
        <v>3</v>
      </c>
      <c r="G627" s="3" t="s">
        <v>119</v>
      </c>
      <c r="H627" s="3">
        <f t="shared" si="5"/>
        <v>3</v>
      </c>
      <c r="I627" s="3" t="s">
        <v>122</v>
      </c>
      <c r="L627" s="3" t="s">
        <v>3170</v>
      </c>
      <c r="M627" s="3" t="s">
        <v>97</v>
      </c>
      <c r="N627" s="3" t="s">
        <v>98</v>
      </c>
      <c r="O627" s="3" t="s">
        <v>78</v>
      </c>
      <c r="P627" s="3" t="s">
        <v>79</v>
      </c>
      <c r="Q627" s="3" t="s">
        <v>3171</v>
      </c>
      <c r="S627" s="18">
        <v>0</v>
      </c>
      <c r="T627" s="18">
        <v>-9.2799999999999994</v>
      </c>
      <c r="U627" s="18">
        <v>8.25</v>
      </c>
      <c r="Z627" s="3" t="s">
        <v>264</v>
      </c>
      <c r="AC627" s="3" t="s">
        <v>102</v>
      </c>
      <c r="AD627" s="3">
        <v>39.973442684382398</v>
      </c>
      <c r="AE627" s="25">
        <v>-105.13528506260199</v>
      </c>
      <c r="AH627" s="3">
        <v>2021</v>
      </c>
      <c r="AI627" s="3">
        <v>12</v>
      </c>
      <c r="AJ627" s="8">
        <v>30</v>
      </c>
      <c r="AK627" s="3">
        <v>2022</v>
      </c>
      <c r="AL627" s="3">
        <v>1</v>
      </c>
      <c r="AM627" s="3">
        <v>1</v>
      </c>
      <c r="AN627" s="29">
        <v>2</v>
      </c>
      <c r="AP627" s="3">
        <v>3273</v>
      </c>
      <c r="AQ627" s="3">
        <v>381</v>
      </c>
      <c r="AR627" s="3">
        <v>3654</v>
      </c>
      <c r="AW627" s="3">
        <v>3300000</v>
      </c>
      <c r="AX627" s="3">
        <v>3564092</v>
      </c>
      <c r="AY627" s="3">
        <v>92.590192930992899</v>
      </c>
      <c r="AZ627" s="3" t="s">
        <v>82</v>
      </c>
      <c r="BB627" s="3" t="s">
        <v>3172</v>
      </c>
      <c r="BC627" s="3" t="s">
        <v>3173</v>
      </c>
      <c r="BD627" s="8">
        <v>4</v>
      </c>
    </row>
    <row r="628" spans="1:56" ht="14.25" customHeight="1" thickBot="1">
      <c r="A628" s="3" t="s">
        <v>3174</v>
      </c>
      <c r="B628" s="3" t="s">
        <v>3175</v>
      </c>
      <c r="C628" s="3" t="s">
        <v>3176</v>
      </c>
      <c r="E628" s="3" t="s">
        <v>71</v>
      </c>
      <c r="F628" s="3">
        <f t="shared" si="4"/>
        <v>1</v>
      </c>
      <c r="G628" s="3" t="s">
        <v>94</v>
      </c>
      <c r="H628" s="3">
        <f t="shared" si="5"/>
        <v>1</v>
      </c>
      <c r="I628" s="3" t="s">
        <v>95</v>
      </c>
      <c r="M628" s="3" t="s">
        <v>371</v>
      </c>
      <c r="N628" s="3" t="s">
        <v>372</v>
      </c>
      <c r="O628" s="3" t="s">
        <v>373</v>
      </c>
      <c r="P628" s="3" t="s">
        <v>79</v>
      </c>
      <c r="Q628" s="3" t="s">
        <v>3177</v>
      </c>
      <c r="S628" s="18">
        <v>21.61</v>
      </c>
      <c r="T628" s="16">
        <v>21.06</v>
      </c>
      <c r="U628" s="18">
        <v>26.46</v>
      </c>
      <c r="V628" s="3" t="s">
        <v>101</v>
      </c>
      <c r="AC628" s="3" t="s">
        <v>102</v>
      </c>
      <c r="AD628" s="5">
        <v>18.397369219078001</v>
      </c>
      <c r="AE628" s="17">
        <v>-66.064595295706894</v>
      </c>
      <c r="AH628" s="3">
        <v>2022</v>
      </c>
      <c r="AI628" s="3">
        <v>2</v>
      </c>
      <c r="AJ628" s="8">
        <v>4</v>
      </c>
      <c r="AK628" s="3">
        <v>2022</v>
      </c>
      <c r="AL628" s="3">
        <v>2</v>
      </c>
      <c r="AM628" s="3">
        <v>6</v>
      </c>
      <c r="AN628" s="29">
        <v>0</v>
      </c>
      <c r="AW628" s="3">
        <v>17000</v>
      </c>
      <c r="AX628" s="3">
        <v>17000</v>
      </c>
      <c r="AY628" s="3">
        <v>100</v>
      </c>
      <c r="AZ628" s="3" t="s">
        <v>89</v>
      </c>
      <c r="BA628" s="3" t="s">
        <v>876</v>
      </c>
      <c r="BC628" s="3" t="s">
        <v>877</v>
      </c>
      <c r="BD628" s="8">
        <v>0</v>
      </c>
    </row>
    <row r="629" spans="1:56" ht="14.25" customHeight="1" thickBot="1">
      <c r="A629" s="3" t="s">
        <v>3178</v>
      </c>
      <c r="B629" s="3" t="s">
        <v>3175</v>
      </c>
      <c r="C629" s="3" t="s">
        <v>2074</v>
      </c>
      <c r="E629" s="3" t="s">
        <v>71</v>
      </c>
      <c r="F629" s="3">
        <f t="shared" si="4"/>
        <v>2</v>
      </c>
      <c r="G629" s="3" t="s">
        <v>72</v>
      </c>
      <c r="H629" s="3">
        <f t="shared" si="5"/>
        <v>2</v>
      </c>
      <c r="I629" s="3" t="s">
        <v>73</v>
      </c>
      <c r="J629" s="3" t="s">
        <v>74</v>
      </c>
      <c r="K629" s="3" t="s">
        <v>75</v>
      </c>
      <c r="M629" s="3" t="s">
        <v>97</v>
      </c>
      <c r="N629" s="3" t="s">
        <v>98</v>
      </c>
      <c r="O629" s="3" t="s">
        <v>78</v>
      </c>
      <c r="P629" s="3" t="s">
        <v>79</v>
      </c>
      <c r="Q629" s="3" t="s">
        <v>3179</v>
      </c>
      <c r="S629" s="18">
        <v>8.35</v>
      </c>
      <c r="T629" s="18">
        <v>-2.42</v>
      </c>
      <c r="U629" s="18">
        <v>17.02</v>
      </c>
      <c r="V629" s="3" t="s">
        <v>355</v>
      </c>
      <c r="Z629" s="3" t="s">
        <v>264</v>
      </c>
      <c r="AB629" s="3">
        <v>275</v>
      </c>
      <c r="AC629" s="3" t="s">
        <v>81</v>
      </c>
      <c r="AD629" s="5">
        <v>41.317384926350996</v>
      </c>
      <c r="AE629" s="17">
        <v>-94.010000984420998</v>
      </c>
      <c r="AH629" s="3">
        <v>2022</v>
      </c>
      <c r="AI629" s="3">
        <v>3</v>
      </c>
      <c r="AJ629" s="8">
        <v>5</v>
      </c>
      <c r="AK629" s="3">
        <v>2022</v>
      </c>
      <c r="AL629" s="3">
        <v>3</v>
      </c>
      <c r="AM629" s="3">
        <v>7</v>
      </c>
      <c r="AN629" s="29">
        <v>8</v>
      </c>
      <c r="AP629" s="3">
        <v>90</v>
      </c>
      <c r="AR629" s="3">
        <v>90</v>
      </c>
      <c r="AW629" s="3">
        <v>820000</v>
      </c>
      <c r="AX629" s="3">
        <v>820000</v>
      </c>
      <c r="AY629" s="3">
        <v>100</v>
      </c>
      <c r="AZ629" s="3" t="s">
        <v>206</v>
      </c>
      <c r="BA629" s="3" t="s">
        <v>3180</v>
      </c>
      <c r="BB629" s="3" t="s">
        <v>3181</v>
      </c>
      <c r="BC629" s="3" t="s">
        <v>3182</v>
      </c>
      <c r="BD629" s="8">
        <v>2</v>
      </c>
    </row>
    <row r="630" spans="1:56" ht="14.25" customHeight="1" thickBot="1">
      <c r="A630" s="3" t="s">
        <v>3183</v>
      </c>
      <c r="B630" s="3" t="s">
        <v>3175</v>
      </c>
      <c r="C630" s="3" t="s">
        <v>3184</v>
      </c>
      <c r="E630" s="3" t="s">
        <v>71</v>
      </c>
      <c r="F630" s="3">
        <f t="shared" si="4"/>
        <v>2</v>
      </c>
      <c r="G630" s="3" t="s">
        <v>72</v>
      </c>
      <c r="H630" s="3">
        <f t="shared" si="5"/>
        <v>2</v>
      </c>
      <c r="I630" s="3" t="s">
        <v>73</v>
      </c>
      <c r="J630" s="3" t="s">
        <v>74</v>
      </c>
      <c r="K630" s="3" t="s">
        <v>75</v>
      </c>
      <c r="M630" s="3" t="s">
        <v>97</v>
      </c>
      <c r="N630" s="3" t="s">
        <v>98</v>
      </c>
      <c r="O630" s="3" t="s">
        <v>78</v>
      </c>
      <c r="P630" s="3" t="s">
        <v>79</v>
      </c>
      <c r="Q630" s="3" t="s">
        <v>3185</v>
      </c>
      <c r="S630" s="18">
        <v>25.94</v>
      </c>
      <c r="T630" s="18">
        <v>14.46</v>
      </c>
      <c r="U630" s="18">
        <v>24.18</v>
      </c>
      <c r="V630" s="3" t="s">
        <v>355</v>
      </c>
      <c r="Z630" s="3" t="s">
        <v>264</v>
      </c>
      <c r="AC630" s="3" t="s">
        <v>81</v>
      </c>
      <c r="AD630" s="6">
        <v>30.054110000000001</v>
      </c>
      <c r="AE630" s="6">
        <v>-97.388775999999993</v>
      </c>
      <c r="AH630" s="3">
        <v>2022</v>
      </c>
      <c r="AI630" s="3">
        <v>3</v>
      </c>
      <c r="AJ630" s="8">
        <v>21</v>
      </c>
      <c r="AK630" s="3">
        <v>2022</v>
      </c>
      <c r="AL630" s="3">
        <v>3</v>
      </c>
      <c r="AM630" s="3">
        <v>23</v>
      </c>
      <c r="AN630" s="29">
        <v>5</v>
      </c>
      <c r="AO630" s="3">
        <v>50</v>
      </c>
      <c r="AR630" s="3">
        <v>50</v>
      </c>
      <c r="AU630" s="3">
        <v>2300000</v>
      </c>
      <c r="AV630" s="3">
        <v>2300000</v>
      </c>
      <c r="AW630" s="3">
        <v>3000000</v>
      </c>
      <c r="AX630" s="3">
        <v>3000000</v>
      </c>
      <c r="AY630" s="3">
        <v>100</v>
      </c>
      <c r="AZ630" s="3" t="s">
        <v>206</v>
      </c>
      <c r="BA630" s="3" t="s">
        <v>3186</v>
      </c>
      <c r="BB630" s="3" t="s">
        <v>3187</v>
      </c>
      <c r="BC630" s="3" t="s">
        <v>3188</v>
      </c>
      <c r="BD630" s="8">
        <v>2</v>
      </c>
    </row>
    <row r="631" spans="1:56" ht="14.25" customHeight="1" thickBot="1">
      <c r="A631" s="3" t="s">
        <v>3189</v>
      </c>
      <c r="B631" s="3" t="s">
        <v>3175</v>
      </c>
      <c r="C631" s="3" t="s">
        <v>2764</v>
      </c>
      <c r="E631" s="3" t="s">
        <v>71</v>
      </c>
      <c r="F631" s="3">
        <f t="shared" si="4"/>
        <v>2</v>
      </c>
      <c r="G631" s="3" t="s">
        <v>72</v>
      </c>
      <c r="H631" s="3">
        <f t="shared" si="5"/>
        <v>2</v>
      </c>
      <c r="I631" s="3" t="s">
        <v>73</v>
      </c>
      <c r="J631" s="3" t="s">
        <v>74</v>
      </c>
      <c r="K631" s="3" t="s">
        <v>127</v>
      </c>
      <c r="M631" s="3" t="s">
        <v>97</v>
      </c>
      <c r="N631" s="3" t="s">
        <v>98</v>
      </c>
      <c r="O631" s="3" t="s">
        <v>78</v>
      </c>
      <c r="P631" s="3" t="s">
        <v>79</v>
      </c>
      <c r="Q631" s="3" t="s">
        <v>3190</v>
      </c>
      <c r="S631" s="18">
        <v>5.61</v>
      </c>
      <c r="T631" s="18">
        <v>9.16</v>
      </c>
      <c r="U631" s="18">
        <v>15.5</v>
      </c>
      <c r="V631" s="3" t="s">
        <v>114</v>
      </c>
      <c r="Z631" s="3" t="s">
        <v>264</v>
      </c>
      <c r="AC631" s="3" t="s">
        <v>81</v>
      </c>
      <c r="AD631" s="6">
        <v>39.516240000000003</v>
      </c>
      <c r="AE631" s="6">
        <v>-76.938207000000006</v>
      </c>
      <c r="AH631" s="3">
        <v>2022</v>
      </c>
      <c r="AI631" s="3">
        <v>1</v>
      </c>
      <c r="AJ631" s="8">
        <v>2</v>
      </c>
      <c r="AK631" s="3">
        <v>2022</v>
      </c>
      <c r="AL631" s="3">
        <v>1</v>
      </c>
      <c r="AM631" s="3">
        <v>3</v>
      </c>
      <c r="AN631" s="29">
        <v>5</v>
      </c>
      <c r="AW631" s="3">
        <v>525000</v>
      </c>
      <c r="AX631" s="3">
        <v>525000</v>
      </c>
      <c r="AY631" s="3">
        <v>100</v>
      </c>
      <c r="AZ631" s="3" t="s">
        <v>89</v>
      </c>
      <c r="BA631" s="3" t="s">
        <v>3191</v>
      </c>
      <c r="BC631" s="3" t="s">
        <v>3192</v>
      </c>
      <c r="BD631" s="8">
        <v>0</v>
      </c>
    </row>
    <row r="632" spans="1:56" ht="14.25" customHeight="1" thickBot="1">
      <c r="A632" s="3" t="s">
        <v>3193</v>
      </c>
      <c r="B632" s="3" t="s">
        <v>3175</v>
      </c>
      <c r="C632" s="3" t="s">
        <v>1262</v>
      </c>
      <c r="E632" s="3" t="s">
        <v>71</v>
      </c>
      <c r="F632" s="3">
        <f t="shared" si="4"/>
        <v>2</v>
      </c>
      <c r="G632" s="3" t="s">
        <v>72</v>
      </c>
      <c r="H632" s="3">
        <f t="shared" si="5"/>
        <v>2</v>
      </c>
      <c r="I632" s="3" t="s">
        <v>73</v>
      </c>
      <c r="J632" s="3" t="s">
        <v>74</v>
      </c>
      <c r="M632" s="3" t="s">
        <v>76</v>
      </c>
      <c r="N632" s="3" t="s">
        <v>77</v>
      </c>
      <c r="O632" s="3" t="s">
        <v>78</v>
      </c>
      <c r="P632" s="3" t="s">
        <v>79</v>
      </c>
      <c r="Q632" s="3" t="s">
        <v>3194</v>
      </c>
      <c r="S632" s="18">
        <v>2.98</v>
      </c>
      <c r="T632" s="18">
        <v>-2.25</v>
      </c>
      <c r="U632" s="18">
        <v>4.37</v>
      </c>
      <c r="V632" s="3" t="s">
        <v>95</v>
      </c>
      <c r="Y632" s="3" t="s">
        <v>264</v>
      </c>
      <c r="Z632" s="3" t="s">
        <v>264</v>
      </c>
      <c r="AC632" s="3" t="s">
        <v>81</v>
      </c>
      <c r="AD632" s="6">
        <v>50.000680000000003</v>
      </c>
      <c r="AE632" s="6">
        <v>-86.000977000000006</v>
      </c>
      <c r="AH632" s="3">
        <v>2022</v>
      </c>
      <c r="AI632" s="3">
        <v>4</v>
      </c>
      <c r="AJ632" s="8">
        <v>21</v>
      </c>
      <c r="AK632" s="3">
        <v>2022</v>
      </c>
      <c r="AL632" s="3">
        <v>4</v>
      </c>
      <c r="AM632" s="3">
        <v>24</v>
      </c>
      <c r="AN632" s="29">
        <v>0</v>
      </c>
      <c r="AY632" s="3">
        <v>100</v>
      </c>
      <c r="AZ632" s="3" t="s">
        <v>89</v>
      </c>
      <c r="BA632" s="3" t="s">
        <v>3195</v>
      </c>
      <c r="BC632" s="3" t="s">
        <v>3196</v>
      </c>
      <c r="BD632" s="8">
        <v>0</v>
      </c>
    </row>
    <row r="633" spans="1:56" ht="14.25" customHeight="1" thickBot="1">
      <c r="A633" s="3" t="s">
        <v>3197</v>
      </c>
      <c r="B633" s="3" t="s">
        <v>3175</v>
      </c>
      <c r="C633" s="3" t="s">
        <v>93</v>
      </c>
      <c r="E633" s="3" t="s">
        <v>71</v>
      </c>
      <c r="F633" s="3">
        <f t="shared" si="4"/>
        <v>2</v>
      </c>
      <c r="G633" s="3" t="s">
        <v>72</v>
      </c>
      <c r="H633" s="3">
        <f t="shared" si="5"/>
        <v>2</v>
      </c>
      <c r="I633" s="3" t="s">
        <v>73</v>
      </c>
      <c r="J633" s="3" t="s">
        <v>74</v>
      </c>
      <c r="K633" s="3" t="s">
        <v>75</v>
      </c>
      <c r="M633" s="3" t="s">
        <v>97</v>
      </c>
      <c r="N633" s="3" t="s">
        <v>98</v>
      </c>
      <c r="O633" s="3" t="s">
        <v>78</v>
      </c>
      <c r="P633" s="3" t="s">
        <v>79</v>
      </c>
      <c r="Q633" s="3" t="s">
        <v>3198</v>
      </c>
      <c r="S633" s="18">
        <v>0</v>
      </c>
      <c r="T633" s="18">
        <v>-1.33</v>
      </c>
      <c r="U633" s="18">
        <v>11.6</v>
      </c>
      <c r="AC633" s="3" t="s">
        <v>81</v>
      </c>
      <c r="AD633" s="6">
        <v>34.032130000000002</v>
      </c>
      <c r="AE633" s="6">
        <v>-101.80888299999999</v>
      </c>
      <c r="AH633" s="3">
        <v>2022</v>
      </c>
      <c r="AI633" s="3">
        <v>2</v>
      </c>
      <c r="AJ633" s="8">
        <v>1</v>
      </c>
      <c r="AK633" s="3">
        <v>2022</v>
      </c>
      <c r="AL633" s="3">
        <v>2</v>
      </c>
      <c r="AM633" s="3">
        <v>5</v>
      </c>
      <c r="AN633" s="29">
        <v>10</v>
      </c>
      <c r="AW633" s="3">
        <v>526000</v>
      </c>
      <c r="AX633" s="3">
        <v>526000</v>
      </c>
      <c r="AY633" s="3">
        <v>100</v>
      </c>
      <c r="AZ633" s="3" t="s">
        <v>82</v>
      </c>
      <c r="BB633" s="3" t="s">
        <v>3199</v>
      </c>
      <c r="BC633" s="3" t="s">
        <v>3200</v>
      </c>
      <c r="BD633" s="8">
        <v>0</v>
      </c>
    </row>
    <row r="634" spans="1:56" ht="14.25" customHeight="1" thickBot="1">
      <c r="A634" s="3" t="s">
        <v>3201</v>
      </c>
      <c r="B634" s="3" t="s">
        <v>3175</v>
      </c>
      <c r="C634" s="3" t="s">
        <v>3202</v>
      </c>
      <c r="E634" s="3" t="s">
        <v>71</v>
      </c>
      <c r="F634" s="3">
        <f t="shared" si="4"/>
        <v>3</v>
      </c>
      <c r="G634" s="3" t="s">
        <v>119</v>
      </c>
      <c r="H634" s="3">
        <f t="shared" si="5"/>
        <v>3</v>
      </c>
      <c r="I634" s="3" t="s">
        <v>122</v>
      </c>
      <c r="L634" s="3" t="s">
        <v>3203</v>
      </c>
      <c r="M634" s="3" t="s">
        <v>97</v>
      </c>
      <c r="N634" s="3" t="s">
        <v>98</v>
      </c>
      <c r="O634" s="3" t="s">
        <v>78</v>
      </c>
      <c r="P634" s="3" t="s">
        <v>79</v>
      </c>
      <c r="Q634" s="3" t="s">
        <v>3204</v>
      </c>
      <c r="R634" s="3" t="s">
        <v>3205</v>
      </c>
      <c r="S634" s="18">
        <v>0</v>
      </c>
      <c r="T634" s="18">
        <v>4.91</v>
      </c>
      <c r="U634" s="18">
        <v>28.33</v>
      </c>
      <c r="AC634" s="3" t="s">
        <v>102</v>
      </c>
      <c r="AD634" s="6">
        <v>30.590646529715201</v>
      </c>
      <c r="AE634" s="23">
        <v>-85.114488374391101</v>
      </c>
      <c r="AH634" s="3">
        <v>2022</v>
      </c>
      <c r="AI634" s="3">
        <v>3</v>
      </c>
      <c r="AJ634" s="8">
        <v>4</v>
      </c>
      <c r="AK634" s="3">
        <v>2022</v>
      </c>
      <c r="AL634" s="3">
        <v>3</v>
      </c>
      <c r="AM634" s="3">
        <v>9</v>
      </c>
      <c r="AN634" s="29">
        <v>0</v>
      </c>
      <c r="AQ634" s="3">
        <v>108</v>
      </c>
      <c r="AR634" s="3">
        <v>108</v>
      </c>
      <c r="AY634" s="3">
        <v>100</v>
      </c>
      <c r="AZ634" s="3" t="s">
        <v>82</v>
      </c>
      <c r="BB634" s="3" t="s">
        <v>3206</v>
      </c>
      <c r="BC634" s="3" t="s">
        <v>3207</v>
      </c>
      <c r="BD634" s="8">
        <v>3</v>
      </c>
    </row>
    <row r="635" spans="1:56" ht="14.25" customHeight="1" thickBot="1">
      <c r="A635" s="3" t="s">
        <v>3208</v>
      </c>
      <c r="B635" s="3" t="s">
        <v>3175</v>
      </c>
      <c r="C635" s="3" t="s">
        <v>3209</v>
      </c>
      <c r="E635" s="3" t="s">
        <v>71</v>
      </c>
      <c r="F635" s="3">
        <f t="shared" si="4"/>
        <v>2</v>
      </c>
      <c r="G635" s="3" t="s">
        <v>72</v>
      </c>
      <c r="H635" s="3">
        <f t="shared" si="5"/>
        <v>2</v>
      </c>
      <c r="I635" s="3" t="s">
        <v>73</v>
      </c>
      <c r="J635" s="3" t="s">
        <v>74</v>
      </c>
      <c r="K635" s="3" t="s">
        <v>2931</v>
      </c>
      <c r="M635" s="3" t="s">
        <v>76</v>
      </c>
      <c r="N635" s="3" t="s">
        <v>77</v>
      </c>
      <c r="O635" s="3" t="s">
        <v>78</v>
      </c>
      <c r="P635" s="3" t="s">
        <v>79</v>
      </c>
      <c r="Q635" s="3" t="s">
        <v>3210</v>
      </c>
      <c r="S635" s="18">
        <v>0.23</v>
      </c>
      <c r="T635" s="18">
        <v>8.91</v>
      </c>
      <c r="U635" s="18">
        <v>20.309999999999999</v>
      </c>
      <c r="AC635" s="3" t="s">
        <v>81</v>
      </c>
      <c r="AD635" s="6">
        <v>43.653480000000002</v>
      </c>
      <c r="AE635" s="6">
        <v>-79.383934999999994</v>
      </c>
      <c r="AH635" s="3">
        <v>2022</v>
      </c>
      <c r="AI635" s="3">
        <v>5</v>
      </c>
      <c r="AJ635" s="8">
        <v>19</v>
      </c>
      <c r="AK635" s="3">
        <v>2022</v>
      </c>
      <c r="AL635" s="3">
        <v>5</v>
      </c>
      <c r="AM635" s="3">
        <v>26</v>
      </c>
      <c r="AN635" s="29">
        <v>12</v>
      </c>
      <c r="AY635" s="3">
        <v>100</v>
      </c>
      <c r="AZ635" s="3" t="s">
        <v>82</v>
      </c>
      <c r="BB635" s="3" t="s">
        <v>3211</v>
      </c>
      <c r="BC635" s="3" t="s">
        <v>3212</v>
      </c>
      <c r="BD635" s="8">
        <v>0</v>
      </c>
    </row>
    <row r="636" spans="1:56" ht="14.25" customHeight="1" thickBot="1">
      <c r="A636" s="3" t="s">
        <v>3213</v>
      </c>
      <c r="B636" s="3" t="s">
        <v>3175</v>
      </c>
      <c r="C636" s="3" t="s">
        <v>3214</v>
      </c>
      <c r="E636" s="3" t="s">
        <v>71</v>
      </c>
      <c r="F636" s="3">
        <f t="shared" si="4"/>
        <v>2</v>
      </c>
      <c r="G636" s="3" t="s">
        <v>72</v>
      </c>
      <c r="H636" s="3">
        <f t="shared" si="5"/>
        <v>2</v>
      </c>
      <c r="I636" s="3" t="s">
        <v>73</v>
      </c>
      <c r="J636" s="3" t="s">
        <v>74</v>
      </c>
      <c r="K636" s="3" t="s">
        <v>127</v>
      </c>
      <c r="L636" s="3" t="s">
        <v>3215</v>
      </c>
      <c r="M636" s="3" t="s">
        <v>76</v>
      </c>
      <c r="N636" s="3" t="s">
        <v>77</v>
      </c>
      <c r="O636" s="3" t="s">
        <v>78</v>
      </c>
      <c r="P636" s="3" t="s">
        <v>79</v>
      </c>
      <c r="Q636" s="3" t="s">
        <v>2423</v>
      </c>
      <c r="S636" s="18">
        <v>0</v>
      </c>
      <c r="T636" s="18">
        <v>-39.17</v>
      </c>
      <c r="U636" s="18">
        <v>-28.89</v>
      </c>
      <c r="AC636" s="3" t="s">
        <v>81</v>
      </c>
      <c r="AD636" s="6">
        <v>55.001249999999999</v>
      </c>
      <c r="AE636" s="6">
        <v>-125.002441</v>
      </c>
      <c r="AH636" s="3">
        <v>2022</v>
      </c>
      <c r="AI636" s="3">
        <v>12</v>
      </c>
      <c r="AJ636" s="8">
        <v>21</v>
      </c>
      <c r="AK636" s="3">
        <v>2022</v>
      </c>
      <c r="AL636" s="3">
        <v>12</v>
      </c>
      <c r="AM636" s="3">
        <v>26</v>
      </c>
      <c r="AN636" s="29">
        <v>4</v>
      </c>
      <c r="AW636" s="3">
        <v>179000</v>
      </c>
      <c r="AX636" s="3">
        <v>179000</v>
      </c>
      <c r="AY636" s="3">
        <v>100</v>
      </c>
      <c r="BD636" s="8">
        <v>0</v>
      </c>
    </row>
    <row r="637" spans="1:56" ht="14.25" customHeight="1" thickBot="1">
      <c r="A637" s="3" t="s">
        <v>3216</v>
      </c>
      <c r="B637" s="3" t="s">
        <v>3175</v>
      </c>
      <c r="C637" s="3" t="s">
        <v>1520</v>
      </c>
      <c r="D637" s="3" t="s">
        <v>3217</v>
      </c>
      <c r="E637" s="3" t="s">
        <v>71</v>
      </c>
      <c r="F637" s="3">
        <f t="shared" si="4"/>
        <v>2</v>
      </c>
      <c r="G637" s="3" t="s">
        <v>72</v>
      </c>
      <c r="H637" s="3">
        <f t="shared" si="5"/>
        <v>2</v>
      </c>
      <c r="I637" s="3" t="s">
        <v>73</v>
      </c>
      <c r="J637" s="3" t="s">
        <v>212</v>
      </c>
      <c r="L637" s="3" t="s">
        <v>3218</v>
      </c>
      <c r="M637" s="3" t="s">
        <v>76</v>
      </c>
      <c r="N637" s="3" t="s">
        <v>77</v>
      </c>
      <c r="O637" s="3" t="s">
        <v>78</v>
      </c>
      <c r="P637" s="3" t="s">
        <v>79</v>
      </c>
      <c r="Q637" s="3" t="s">
        <v>3219</v>
      </c>
      <c r="S637" s="18">
        <v>19.43</v>
      </c>
      <c r="T637" s="18">
        <v>7.83</v>
      </c>
      <c r="U637" s="18">
        <v>12.6</v>
      </c>
      <c r="AC637" s="3" t="s">
        <v>81</v>
      </c>
      <c r="AD637" s="6">
        <v>45.196040000000004</v>
      </c>
      <c r="AE637" s="6">
        <v>-63.165379000000001</v>
      </c>
      <c r="AH637" s="3">
        <v>2022</v>
      </c>
      <c r="AI637" s="3">
        <v>9</v>
      </c>
      <c r="AJ637" s="8">
        <v>24</v>
      </c>
      <c r="AK637" s="3">
        <v>2022</v>
      </c>
      <c r="AL637" s="3">
        <v>9</v>
      </c>
      <c r="AM637" s="3">
        <v>25</v>
      </c>
      <c r="AN637" s="29">
        <v>1</v>
      </c>
      <c r="AP637" s="3">
        <v>4000</v>
      </c>
      <c r="AR637" s="3">
        <v>4000</v>
      </c>
      <c r="AY637" s="3">
        <v>100</v>
      </c>
      <c r="AZ637" s="3" t="s">
        <v>89</v>
      </c>
      <c r="BA637" s="3" t="s">
        <v>3220</v>
      </c>
      <c r="BC637" s="3" t="s">
        <v>3221</v>
      </c>
      <c r="BD637" s="8">
        <v>4</v>
      </c>
    </row>
    <row r="638" spans="1:56" ht="14.25" customHeight="1" thickBot="1">
      <c r="A638" s="3" t="s">
        <v>3222</v>
      </c>
      <c r="B638" s="3" t="s">
        <v>3175</v>
      </c>
      <c r="C638" s="3" t="s">
        <v>341</v>
      </c>
      <c r="E638" s="3" t="s">
        <v>71</v>
      </c>
      <c r="F638" s="3">
        <f t="shared" si="4"/>
        <v>1</v>
      </c>
      <c r="G638" s="3" t="s">
        <v>94</v>
      </c>
      <c r="H638" s="3">
        <f t="shared" si="5"/>
        <v>1</v>
      </c>
      <c r="I638" s="3" t="s">
        <v>95</v>
      </c>
      <c r="M638" s="3" t="s">
        <v>76</v>
      </c>
      <c r="N638" s="3" t="s">
        <v>77</v>
      </c>
      <c r="O638" s="3" t="s">
        <v>78</v>
      </c>
      <c r="P638" s="3" t="s">
        <v>79</v>
      </c>
      <c r="Q638" s="3" t="s">
        <v>3223</v>
      </c>
      <c r="R638" s="3" t="s">
        <v>3224</v>
      </c>
      <c r="S638" s="18">
        <v>13.19</v>
      </c>
      <c r="T638" s="18">
        <v>0.16</v>
      </c>
      <c r="U638" s="18">
        <v>3.01</v>
      </c>
      <c r="Z638" s="3" t="s">
        <v>264</v>
      </c>
      <c r="AC638" s="3" t="s">
        <v>102</v>
      </c>
      <c r="AD638" s="5">
        <v>49.937312677396697</v>
      </c>
      <c r="AE638" s="17">
        <v>-97.779642245168503</v>
      </c>
      <c r="AH638" s="3">
        <v>2022</v>
      </c>
      <c r="AI638" s="3">
        <v>4</v>
      </c>
      <c r="AJ638" s="8">
        <v>22</v>
      </c>
      <c r="AK638" s="3">
        <v>2022</v>
      </c>
      <c r="AL638" s="3">
        <v>4</v>
      </c>
      <c r="AM638" s="3">
        <v>25</v>
      </c>
      <c r="AN638" s="29">
        <v>0</v>
      </c>
      <c r="AP638" s="3">
        <v>1000</v>
      </c>
      <c r="AR638" s="3">
        <v>1000</v>
      </c>
      <c r="AY638" s="3">
        <v>100</v>
      </c>
      <c r="BD638" s="8">
        <v>4</v>
      </c>
    </row>
    <row r="639" spans="1:56" ht="14.25" customHeight="1" thickBot="1">
      <c r="A639" s="3" t="s">
        <v>3225</v>
      </c>
      <c r="B639" s="3" t="s">
        <v>3175</v>
      </c>
      <c r="C639" s="3" t="s">
        <v>1356</v>
      </c>
      <c r="E639" s="3" t="s">
        <v>71</v>
      </c>
      <c r="F639" s="3">
        <f t="shared" si="4"/>
        <v>1</v>
      </c>
      <c r="G639" s="3" t="s">
        <v>94</v>
      </c>
      <c r="H639" s="3">
        <f t="shared" si="5"/>
        <v>1</v>
      </c>
      <c r="I639" s="3" t="s">
        <v>95</v>
      </c>
      <c r="M639" s="3" t="s">
        <v>76</v>
      </c>
      <c r="N639" s="3" t="s">
        <v>77</v>
      </c>
      <c r="O639" s="3" t="s">
        <v>78</v>
      </c>
      <c r="P639" s="3" t="s">
        <v>79</v>
      </c>
      <c r="Q639" s="3" t="s">
        <v>3226</v>
      </c>
      <c r="R639" s="3" t="s">
        <v>3227</v>
      </c>
      <c r="S639" s="18">
        <v>6.77</v>
      </c>
      <c r="T639" s="18">
        <v>6.04</v>
      </c>
      <c r="U639" s="18">
        <v>12.95</v>
      </c>
      <c r="Z639" s="3" t="s">
        <v>264</v>
      </c>
      <c r="AC639" s="3" t="s">
        <v>102</v>
      </c>
      <c r="AD639" s="6">
        <v>55.001249999999999</v>
      </c>
      <c r="AE639" s="6">
        <v>-97.001037999999994</v>
      </c>
      <c r="AH639" s="3">
        <v>2022</v>
      </c>
      <c r="AI639" s="3">
        <v>5</v>
      </c>
      <c r="AJ639" s="8">
        <v>30</v>
      </c>
      <c r="AK639" s="3">
        <v>2022</v>
      </c>
      <c r="AL639" s="3">
        <v>5</v>
      </c>
      <c r="AM639" s="3">
        <v>31</v>
      </c>
      <c r="AN639" s="29">
        <v>0</v>
      </c>
      <c r="AP639" s="3">
        <v>1000</v>
      </c>
      <c r="AR639" s="3">
        <v>1000</v>
      </c>
      <c r="AW639" s="3">
        <v>36000</v>
      </c>
      <c r="AX639" s="3">
        <v>36000</v>
      </c>
      <c r="AY639" s="3">
        <v>100</v>
      </c>
      <c r="AZ639" s="3" t="s">
        <v>89</v>
      </c>
      <c r="BA639" s="3" t="s">
        <v>3228</v>
      </c>
      <c r="BC639" s="3" t="s">
        <v>3229</v>
      </c>
      <c r="BD639" s="8">
        <v>4</v>
      </c>
    </row>
    <row r="640" spans="1:56" ht="14.25" customHeight="1" thickBot="1">
      <c r="A640" s="3" t="s">
        <v>3230</v>
      </c>
      <c r="B640" s="3" t="s">
        <v>3175</v>
      </c>
      <c r="C640" s="3" t="s">
        <v>1520</v>
      </c>
      <c r="D640" s="3" t="s">
        <v>3217</v>
      </c>
      <c r="E640" s="3" t="s">
        <v>71</v>
      </c>
      <c r="F640" s="3">
        <f t="shared" si="4"/>
        <v>2</v>
      </c>
      <c r="G640" s="3" t="s">
        <v>72</v>
      </c>
      <c r="H640" s="3">
        <f t="shared" si="5"/>
        <v>2</v>
      </c>
      <c r="I640" s="3" t="s">
        <v>73</v>
      </c>
      <c r="J640" s="3" t="s">
        <v>212</v>
      </c>
      <c r="L640" s="3" t="s">
        <v>3218</v>
      </c>
      <c r="M640" s="3" t="s">
        <v>371</v>
      </c>
      <c r="N640" s="3" t="s">
        <v>372</v>
      </c>
      <c r="O640" s="3" t="s">
        <v>373</v>
      </c>
      <c r="P640" s="3" t="s">
        <v>79</v>
      </c>
      <c r="S640" s="18">
        <v>32.409999999999997</v>
      </c>
      <c r="T640" s="18">
        <v>23.33</v>
      </c>
      <c r="U640" s="18">
        <v>29.71</v>
      </c>
      <c r="V640" s="3" t="s">
        <v>95</v>
      </c>
      <c r="W640" s="3" t="s">
        <v>101</v>
      </c>
      <c r="Z640" s="3" t="s">
        <v>264</v>
      </c>
      <c r="AC640" s="3" t="s">
        <v>81</v>
      </c>
      <c r="AD640" s="5">
        <v>18.413663227349701</v>
      </c>
      <c r="AE640" s="17">
        <v>-66.179579650137001</v>
      </c>
      <c r="AH640" s="3">
        <v>2022</v>
      </c>
      <c r="AI640" s="3">
        <v>9</v>
      </c>
      <c r="AJ640" s="8">
        <v>17</v>
      </c>
      <c r="AK640" s="3">
        <v>2022</v>
      </c>
      <c r="AL640" s="3">
        <v>9</v>
      </c>
      <c r="AM640" s="3">
        <v>18</v>
      </c>
      <c r="AN640" s="29">
        <v>25</v>
      </c>
      <c r="AW640" s="3">
        <v>2500000</v>
      </c>
      <c r="AX640" s="3">
        <v>2500000</v>
      </c>
      <c r="AY640" s="3">
        <v>100</v>
      </c>
      <c r="BD640" s="8">
        <v>0</v>
      </c>
    </row>
    <row r="641" spans="1:56" ht="14.25" customHeight="1" thickBot="1">
      <c r="A641" s="3" t="s">
        <v>3231</v>
      </c>
      <c r="B641" s="3" t="s">
        <v>3175</v>
      </c>
      <c r="C641" s="3" t="s">
        <v>3232</v>
      </c>
      <c r="E641" s="3" t="s">
        <v>71</v>
      </c>
      <c r="F641" s="3">
        <f t="shared" si="4"/>
        <v>2</v>
      </c>
      <c r="G641" s="3" t="s">
        <v>72</v>
      </c>
      <c r="H641" s="3">
        <f t="shared" si="5"/>
        <v>2</v>
      </c>
      <c r="I641" s="3" t="s">
        <v>73</v>
      </c>
      <c r="J641" s="3" t="s">
        <v>74</v>
      </c>
      <c r="M641" s="3" t="s">
        <v>97</v>
      </c>
      <c r="N641" s="3" t="s">
        <v>98</v>
      </c>
      <c r="O641" s="3" t="s">
        <v>78</v>
      </c>
      <c r="P641" s="3" t="s">
        <v>79</v>
      </c>
      <c r="Q641" s="3" t="s">
        <v>3233</v>
      </c>
      <c r="S641" s="18">
        <v>5.17</v>
      </c>
      <c r="T641" s="18">
        <v>18.72</v>
      </c>
      <c r="U641" s="18">
        <v>29.14</v>
      </c>
      <c r="V641" s="3" t="s">
        <v>95</v>
      </c>
      <c r="W641" s="3" t="s">
        <v>355</v>
      </c>
      <c r="Z641" s="3" t="s">
        <v>264</v>
      </c>
      <c r="AC641" s="3" t="s">
        <v>81</v>
      </c>
      <c r="AD641" s="6">
        <v>31.26389</v>
      </c>
      <c r="AE641" s="6">
        <v>-98.545612000000006</v>
      </c>
      <c r="AH641" s="3">
        <v>2022</v>
      </c>
      <c r="AI641" s="3">
        <v>5</v>
      </c>
      <c r="AJ641" s="8">
        <v>5</v>
      </c>
      <c r="AK641" s="3">
        <v>2022</v>
      </c>
      <c r="AL641" s="3">
        <v>5</v>
      </c>
      <c r="AM641" s="3">
        <v>11</v>
      </c>
      <c r="AN641" s="29">
        <v>5</v>
      </c>
      <c r="AW641" s="3">
        <v>1200000</v>
      </c>
      <c r="AX641" s="3">
        <v>1200000</v>
      </c>
      <c r="AY641" s="3">
        <v>100</v>
      </c>
      <c r="AZ641" s="3" t="s">
        <v>89</v>
      </c>
      <c r="BA641" s="3" t="s">
        <v>3234</v>
      </c>
      <c r="BC641" s="3" t="s">
        <v>3235</v>
      </c>
      <c r="BD641" s="8">
        <v>0</v>
      </c>
    </row>
    <row r="642" spans="1:56" ht="14.25" customHeight="1" thickBot="1">
      <c r="A642" s="3" t="s">
        <v>3236</v>
      </c>
      <c r="B642" s="3" t="s">
        <v>3175</v>
      </c>
      <c r="C642" s="3" t="s">
        <v>2018</v>
      </c>
      <c r="E642" s="3" t="s">
        <v>71</v>
      </c>
      <c r="F642" s="3">
        <f t="shared" si="4"/>
        <v>2</v>
      </c>
      <c r="G642" s="3" t="s">
        <v>72</v>
      </c>
      <c r="H642" s="3">
        <f t="shared" si="5"/>
        <v>2</v>
      </c>
      <c r="I642" s="3" t="s">
        <v>73</v>
      </c>
      <c r="J642" s="3" t="s">
        <v>74</v>
      </c>
      <c r="K642" s="3" t="s">
        <v>75</v>
      </c>
      <c r="M642" s="3" t="s">
        <v>97</v>
      </c>
      <c r="N642" s="3" t="s">
        <v>98</v>
      </c>
      <c r="O642" s="3" t="s">
        <v>78</v>
      </c>
      <c r="P642" s="3" t="s">
        <v>79</v>
      </c>
      <c r="Q642" s="3" t="s">
        <v>3237</v>
      </c>
      <c r="S642" s="18">
        <v>0</v>
      </c>
      <c r="T642" s="18">
        <v>17.53</v>
      </c>
      <c r="U642" s="18">
        <v>28.54</v>
      </c>
      <c r="V642" s="3" t="s">
        <v>355</v>
      </c>
      <c r="W642" s="3" t="s">
        <v>95</v>
      </c>
      <c r="AB642" s="3">
        <v>265</v>
      </c>
      <c r="AC642" s="3" t="s">
        <v>81</v>
      </c>
      <c r="AD642" s="5">
        <v>30.530882161883401</v>
      </c>
      <c r="AE642" s="17">
        <v>-97.656650699374595</v>
      </c>
      <c r="AH642" s="3">
        <v>2022</v>
      </c>
      <c r="AI642" s="3">
        <v>4</v>
      </c>
      <c r="AJ642" s="8">
        <v>11</v>
      </c>
      <c r="AK642" s="3">
        <v>2022</v>
      </c>
      <c r="AL642" s="3">
        <v>4</v>
      </c>
      <c r="AM642" s="3">
        <v>14</v>
      </c>
      <c r="AN642" s="29">
        <v>1</v>
      </c>
      <c r="AO642" s="3">
        <v>28</v>
      </c>
      <c r="AP642" s="3">
        <v>15</v>
      </c>
      <c r="AR642" s="3">
        <v>43</v>
      </c>
      <c r="AW642" s="3">
        <v>2800000</v>
      </c>
      <c r="AX642" s="3">
        <v>2800000</v>
      </c>
      <c r="AY642" s="3">
        <v>100</v>
      </c>
      <c r="AZ642" s="3" t="s">
        <v>206</v>
      </c>
      <c r="BA642" s="3" t="s">
        <v>3238</v>
      </c>
      <c r="BB642" s="3" t="s">
        <v>3239</v>
      </c>
      <c r="BC642" s="3" t="s">
        <v>3240</v>
      </c>
      <c r="BD642" s="8">
        <v>2</v>
      </c>
    </row>
    <row r="643" spans="1:56" ht="14.25" customHeight="1" thickBot="1">
      <c r="A643" s="3" t="s">
        <v>3241</v>
      </c>
      <c r="B643" s="3" t="s">
        <v>3175</v>
      </c>
      <c r="C643" s="3" t="s">
        <v>3242</v>
      </c>
      <c r="E643" s="3" t="s">
        <v>71</v>
      </c>
      <c r="F643" s="3">
        <f t="shared" si="4"/>
        <v>2</v>
      </c>
      <c r="G643" s="3" t="s">
        <v>72</v>
      </c>
      <c r="H643" s="3">
        <f t="shared" si="5"/>
        <v>2</v>
      </c>
      <c r="I643" s="3" t="s">
        <v>73</v>
      </c>
      <c r="J643" s="3" t="s">
        <v>74</v>
      </c>
      <c r="K643" s="3" t="s">
        <v>169</v>
      </c>
      <c r="M643" s="3" t="s">
        <v>97</v>
      </c>
      <c r="N643" s="3" t="s">
        <v>98</v>
      </c>
      <c r="O643" s="3" t="s">
        <v>78</v>
      </c>
      <c r="P643" s="3" t="s">
        <v>79</v>
      </c>
      <c r="Q643" s="3" t="s">
        <v>3243</v>
      </c>
      <c r="S643" s="18">
        <v>0</v>
      </c>
      <c r="T643" s="18">
        <v>7.63</v>
      </c>
      <c r="U643" s="18">
        <v>25.15</v>
      </c>
      <c r="V643" s="3" t="s">
        <v>355</v>
      </c>
      <c r="W643" s="3" t="s">
        <v>95</v>
      </c>
      <c r="AB643" s="3">
        <v>177</v>
      </c>
      <c r="AC643" s="3" t="s">
        <v>81</v>
      </c>
      <c r="AD643" s="5">
        <v>33.7737118723267</v>
      </c>
      <c r="AE643" s="17">
        <v>-93.683243675808797</v>
      </c>
      <c r="AH643" s="3">
        <v>2022</v>
      </c>
      <c r="AI643" s="3">
        <v>3</v>
      </c>
      <c r="AJ643" s="8">
        <v>29</v>
      </c>
      <c r="AK643" s="3">
        <v>2022</v>
      </c>
      <c r="AL643" s="3">
        <v>4</v>
      </c>
      <c r="AM643" s="3">
        <v>1</v>
      </c>
      <c r="AN643" s="29">
        <v>2</v>
      </c>
      <c r="AP643" s="3">
        <v>90</v>
      </c>
      <c r="AR643" s="3">
        <v>90</v>
      </c>
      <c r="AW643" s="3">
        <v>1300000</v>
      </c>
      <c r="AX643" s="3">
        <v>1300000</v>
      </c>
      <c r="AY643" s="3">
        <v>100</v>
      </c>
      <c r="AZ643" s="3" t="s">
        <v>206</v>
      </c>
      <c r="BA643" s="3" t="s">
        <v>3244</v>
      </c>
      <c r="BB643" s="3" t="s">
        <v>3245</v>
      </c>
      <c r="BC643" s="3" t="s">
        <v>3246</v>
      </c>
      <c r="BD643" s="8">
        <v>2</v>
      </c>
    </row>
    <row r="644" spans="1:56" ht="14.25" customHeight="1" thickBot="1">
      <c r="A644" s="3" t="s">
        <v>3247</v>
      </c>
      <c r="B644" s="3" t="s">
        <v>3175</v>
      </c>
      <c r="C644" s="3" t="s">
        <v>3214</v>
      </c>
      <c r="E644" s="3" t="s">
        <v>71</v>
      </c>
      <c r="F644" s="3">
        <f t="shared" si="4"/>
        <v>2</v>
      </c>
      <c r="G644" s="3" t="s">
        <v>72</v>
      </c>
      <c r="H644" s="3">
        <f t="shared" si="5"/>
        <v>2</v>
      </c>
      <c r="I644" s="3" t="s">
        <v>73</v>
      </c>
      <c r="J644" s="3" t="s">
        <v>74</v>
      </c>
      <c r="K644" s="3" t="s">
        <v>127</v>
      </c>
      <c r="L644" s="3" t="s">
        <v>3215</v>
      </c>
      <c r="M644" s="3" t="s">
        <v>97</v>
      </c>
      <c r="N644" s="3" t="s">
        <v>98</v>
      </c>
      <c r="O644" s="3" t="s">
        <v>78</v>
      </c>
      <c r="P644" s="3" t="s">
        <v>79</v>
      </c>
      <c r="Q644" s="3" t="s">
        <v>3248</v>
      </c>
      <c r="R644" s="3" t="s">
        <v>3249</v>
      </c>
      <c r="S644" s="18">
        <v>0</v>
      </c>
      <c r="T644" s="18">
        <v>-20.99</v>
      </c>
      <c r="U644" s="18">
        <v>-16.37</v>
      </c>
      <c r="V644" s="3" t="s">
        <v>114</v>
      </c>
      <c r="W644" s="3" t="s">
        <v>95</v>
      </c>
      <c r="Z644" s="3" t="s">
        <v>264</v>
      </c>
      <c r="AB644" s="3">
        <v>120</v>
      </c>
      <c r="AC644" s="3" t="s">
        <v>81</v>
      </c>
      <c r="AD644" s="6">
        <v>44.647179999999999</v>
      </c>
      <c r="AE644" s="6">
        <v>-100.348761</v>
      </c>
      <c r="AH644" s="3">
        <v>2022</v>
      </c>
      <c r="AI644" s="3">
        <v>12</v>
      </c>
      <c r="AJ644" s="8">
        <v>19</v>
      </c>
      <c r="AK644" s="3">
        <v>2022</v>
      </c>
      <c r="AL644" s="3">
        <v>12</v>
      </c>
      <c r="AM644" s="3">
        <v>29</v>
      </c>
      <c r="AN644" s="29">
        <v>98</v>
      </c>
      <c r="AW644" s="3">
        <v>2700000</v>
      </c>
      <c r="AX644" s="3">
        <v>2700000</v>
      </c>
      <c r="AY644" s="3">
        <v>100</v>
      </c>
      <c r="AZ644" s="3" t="s">
        <v>89</v>
      </c>
      <c r="BA644" s="3" t="s">
        <v>3250</v>
      </c>
      <c r="BC644" s="3" t="s">
        <v>3251</v>
      </c>
      <c r="BD644" s="8">
        <v>0</v>
      </c>
    </row>
    <row r="645" spans="1:56" ht="14.25" customHeight="1" thickBot="1">
      <c r="A645" s="3" t="s">
        <v>3252</v>
      </c>
      <c r="B645" s="3" t="s">
        <v>3175</v>
      </c>
      <c r="C645" s="3" t="s">
        <v>3253</v>
      </c>
      <c r="E645" s="3" t="s">
        <v>71</v>
      </c>
      <c r="F645" s="3">
        <f t="shared" si="4"/>
        <v>1</v>
      </c>
      <c r="G645" s="3" t="s">
        <v>94</v>
      </c>
      <c r="H645" s="3">
        <f t="shared" si="5"/>
        <v>1</v>
      </c>
      <c r="I645" s="3" t="s">
        <v>95</v>
      </c>
      <c r="M645" s="3" t="s">
        <v>97</v>
      </c>
      <c r="N645" s="3" t="s">
        <v>98</v>
      </c>
      <c r="O645" s="3" t="s">
        <v>78</v>
      </c>
      <c r="P645" s="3" t="s">
        <v>79</v>
      </c>
      <c r="Q645" s="3" t="s">
        <v>3254</v>
      </c>
      <c r="R645" s="3" t="s">
        <v>3255</v>
      </c>
      <c r="S645" s="18">
        <v>0</v>
      </c>
      <c r="T645" s="18">
        <v>4.74</v>
      </c>
      <c r="U645" s="18">
        <v>16.579999999999998</v>
      </c>
      <c r="V645" s="3" t="s">
        <v>101</v>
      </c>
      <c r="AC645" s="3" t="s">
        <v>102</v>
      </c>
      <c r="AD645" s="10">
        <v>44.426740000000002</v>
      </c>
      <c r="AE645" s="11">
        <v>-110.604799</v>
      </c>
      <c r="AH645" s="3">
        <v>2022</v>
      </c>
      <c r="AI645" s="3">
        <v>6</v>
      </c>
      <c r="AJ645" s="8">
        <v>11</v>
      </c>
      <c r="AK645" s="3">
        <v>2022</v>
      </c>
      <c r="AL645" s="3">
        <v>6</v>
      </c>
      <c r="AM645" s="3">
        <v>14</v>
      </c>
      <c r="AN645" s="29">
        <v>0</v>
      </c>
      <c r="AP645" s="3">
        <v>600</v>
      </c>
      <c r="AR645" s="3">
        <v>600</v>
      </c>
      <c r="AY645" s="3">
        <v>100</v>
      </c>
      <c r="AZ645" s="3" t="s">
        <v>89</v>
      </c>
      <c r="BA645" s="3" t="s">
        <v>3256</v>
      </c>
      <c r="BC645" s="3" t="s">
        <v>3257</v>
      </c>
      <c r="BD645" s="8">
        <v>3</v>
      </c>
    </row>
    <row r="646" spans="1:56" ht="14.25" customHeight="1" thickBot="1">
      <c r="A646" s="3" t="s">
        <v>3258</v>
      </c>
      <c r="B646" s="3" t="s">
        <v>3175</v>
      </c>
      <c r="C646" s="3" t="s">
        <v>975</v>
      </c>
      <c r="E646" s="3" t="s">
        <v>71</v>
      </c>
      <c r="F646" s="3">
        <f t="shared" si="4"/>
        <v>2</v>
      </c>
      <c r="G646" s="3" t="s">
        <v>72</v>
      </c>
      <c r="H646" s="3">
        <f t="shared" si="5"/>
        <v>2</v>
      </c>
      <c r="I646" s="3" t="s">
        <v>73</v>
      </c>
      <c r="J646" s="3" t="s">
        <v>74</v>
      </c>
      <c r="K646" s="3" t="s">
        <v>75</v>
      </c>
      <c r="M646" s="3" t="s">
        <v>97</v>
      </c>
      <c r="N646" s="3" t="s">
        <v>98</v>
      </c>
      <c r="O646" s="3" t="s">
        <v>78</v>
      </c>
      <c r="P646" s="3" t="s">
        <v>79</v>
      </c>
      <c r="Q646" s="3" t="s">
        <v>3259</v>
      </c>
      <c r="S646" s="18">
        <v>0</v>
      </c>
      <c r="T646" s="18">
        <v>0.7</v>
      </c>
      <c r="U646" s="18">
        <v>21.66</v>
      </c>
      <c r="V646" s="3" t="s">
        <v>355</v>
      </c>
      <c r="AC646" s="3" t="s">
        <v>81</v>
      </c>
      <c r="AD646" s="5">
        <v>37.734521315900601</v>
      </c>
      <c r="AE646" s="17">
        <v>-97.314687264293497</v>
      </c>
      <c r="AH646" s="3">
        <v>2022</v>
      </c>
      <c r="AI646" s="3">
        <v>4</v>
      </c>
      <c r="AJ646" s="8">
        <v>26</v>
      </c>
      <c r="AK646" s="3">
        <v>2022</v>
      </c>
      <c r="AL646" s="3">
        <v>5</v>
      </c>
      <c r="AM646" s="3">
        <v>5</v>
      </c>
      <c r="AN646" s="29">
        <v>3</v>
      </c>
      <c r="AO646" s="3">
        <v>6</v>
      </c>
      <c r="AP646" s="3">
        <v>300</v>
      </c>
      <c r="AR646" s="3">
        <v>306</v>
      </c>
      <c r="AW646" s="3">
        <v>583000</v>
      </c>
      <c r="AX646" s="3">
        <v>583000</v>
      </c>
      <c r="AY646" s="3">
        <v>100</v>
      </c>
      <c r="AZ646" s="3" t="s">
        <v>206</v>
      </c>
      <c r="BA646" s="3" t="s">
        <v>1055</v>
      </c>
      <c r="BB646" s="3" t="s">
        <v>3260</v>
      </c>
      <c r="BC646" s="3" t="s">
        <v>3261</v>
      </c>
      <c r="BD646" s="8">
        <v>3</v>
      </c>
    </row>
    <row r="647" spans="1:56" ht="14.25" customHeight="1" thickBot="1">
      <c r="A647" s="3" t="s">
        <v>3262</v>
      </c>
      <c r="B647" s="3" t="s">
        <v>3175</v>
      </c>
      <c r="C647" s="3" t="s">
        <v>3263</v>
      </c>
      <c r="E647" s="3" t="s">
        <v>71</v>
      </c>
      <c r="F647" s="3">
        <f t="shared" si="4"/>
        <v>2</v>
      </c>
      <c r="G647" s="3" t="s">
        <v>72</v>
      </c>
      <c r="H647" s="3">
        <f t="shared" si="5"/>
        <v>2</v>
      </c>
      <c r="I647" s="3" t="s">
        <v>73</v>
      </c>
      <c r="J647" s="3" t="s">
        <v>74</v>
      </c>
      <c r="M647" s="3" t="s">
        <v>97</v>
      </c>
      <c r="N647" s="3" t="s">
        <v>98</v>
      </c>
      <c r="O647" s="3" t="s">
        <v>78</v>
      </c>
      <c r="P647" s="3" t="s">
        <v>79</v>
      </c>
      <c r="Q647" s="3" t="s">
        <v>3264</v>
      </c>
      <c r="S647" s="18">
        <v>22.45</v>
      </c>
      <c r="T647" s="18">
        <v>7.51</v>
      </c>
      <c r="U647" s="18">
        <v>26.18</v>
      </c>
      <c r="V647" s="3" t="s">
        <v>355</v>
      </c>
      <c r="AC647" s="3" t="s">
        <v>81</v>
      </c>
      <c r="AD647" s="6">
        <v>33.258879999999998</v>
      </c>
      <c r="AE647" s="6">
        <v>-86.829533999999995</v>
      </c>
      <c r="AH647" s="3">
        <v>2022</v>
      </c>
      <c r="AI647" s="3">
        <v>4</v>
      </c>
      <c r="AJ647" s="8">
        <v>15</v>
      </c>
      <c r="AK647" s="3">
        <v>2022</v>
      </c>
      <c r="AL647" s="3">
        <v>4</v>
      </c>
      <c r="AM647" s="3">
        <v>18</v>
      </c>
      <c r="AN647" s="29">
        <v>0</v>
      </c>
      <c r="AW647" s="3">
        <v>882000</v>
      </c>
      <c r="AX647" s="3">
        <v>882000</v>
      </c>
      <c r="AY647" s="3">
        <v>100</v>
      </c>
      <c r="AZ647" s="3" t="s">
        <v>89</v>
      </c>
      <c r="BA647" s="3" t="s">
        <v>3265</v>
      </c>
      <c r="BC647" s="3" t="s">
        <v>3266</v>
      </c>
      <c r="BD647" s="8">
        <v>0</v>
      </c>
    </row>
    <row r="648" spans="1:56" ht="14.25" customHeight="1" thickBot="1">
      <c r="A648" s="3" t="s">
        <v>3267</v>
      </c>
      <c r="B648" s="3" t="s">
        <v>3175</v>
      </c>
      <c r="C648" s="3" t="s">
        <v>1262</v>
      </c>
      <c r="E648" s="3" t="s">
        <v>71</v>
      </c>
      <c r="F648" s="3">
        <f t="shared" si="4"/>
        <v>2</v>
      </c>
      <c r="G648" s="3" t="s">
        <v>72</v>
      </c>
      <c r="H648" s="3">
        <f t="shared" si="5"/>
        <v>2</v>
      </c>
      <c r="I648" s="3" t="s">
        <v>73</v>
      </c>
      <c r="J648" s="3" t="s">
        <v>74</v>
      </c>
      <c r="M648" s="3" t="s">
        <v>97</v>
      </c>
      <c r="N648" s="3" t="s">
        <v>98</v>
      </c>
      <c r="O648" s="3" t="s">
        <v>78</v>
      </c>
      <c r="P648" s="3" t="s">
        <v>79</v>
      </c>
      <c r="Q648" s="3" t="s">
        <v>3268</v>
      </c>
      <c r="S648" s="18">
        <v>0</v>
      </c>
      <c r="T648" s="16">
        <v>1.37</v>
      </c>
      <c r="U648" s="18">
        <v>24.62</v>
      </c>
      <c r="V648" s="3" t="s">
        <v>355</v>
      </c>
      <c r="AB648" s="3">
        <v>130</v>
      </c>
      <c r="AC648" s="3" t="s">
        <v>81</v>
      </c>
      <c r="AD648" s="6">
        <v>41.737020000000001</v>
      </c>
      <c r="AE648" s="6">
        <v>-99.587382000000005</v>
      </c>
      <c r="AH648" s="3">
        <v>2022</v>
      </c>
      <c r="AI648" s="3">
        <v>4</v>
      </c>
      <c r="AJ648" s="8">
        <v>21</v>
      </c>
      <c r="AK648" s="3">
        <v>2022</v>
      </c>
      <c r="AL648" s="3">
        <v>4</v>
      </c>
      <c r="AM648" s="3">
        <v>24</v>
      </c>
      <c r="AN648" s="29">
        <v>0</v>
      </c>
      <c r="AW648" s="3">
        <v>624000</v>
      </c>
      <c r="AX648" s="3">
        <v>624000</v>
      </c>
      <c r="AY648" s="3">
        <v>100</v>
      </c>
      <c r="AZ648" s="3" t="s">
        <v>89</v>
      </c>
      <c r="BA648" s="3" t="s">
        <v>3269</v>
      </c>
      <c r="BC648" s="3" t="s">
        <v>3270</v>
      </c>
      <c r="BD648" s="8">
        <v>0</v>
      </c>
    </row>
    <row r="649" spans="1:56" ht="14.25" customHeight="1" thickBot="1">
      <c r="A649" s="3" t="s">
        <v>3271</v>
      </c>
      <c r="B649" s="3" t="s">
        <v>3175</v>
      </c>
      <c r="C649" s="3" t="s">
        <v>3272</v>
      </c>
      <c r="E649" s="3" t="s">
        <v>71</v>
      </c>
      <c r="F649" s="3">
        <f t="shared" si="4"/>
        <v>3</v>
      </c>
      <c r="G649" s="3" t="s">
        <v>119</v>
      </c>
      <c r="H649" s="3">
        <f t="shared" si="5"/>
        <v>7</v>
      </c>
      <c r="I649" s="3" t="s">
        <v>120</v>
      </c>
      <c r="J649" s="3" t="s">
        <v>120</v>
      </c>
      <c r="M649" s="3" t="s">
        <v>97</v>
      </c>
      <c r="N649" s="3" t="s">
        <v>98</v>
      </c>
      <c r="O649" s="3" t="s">
        <v>78</v>
      </c>
      <c r="P649" s="3" t="s">
        <v>79</v>
      </c>
      <c r="Q649" s="3" t="s">
        <v>3273</v>
      </c>
      <c r="S649" s="18">
        <v>0</v>
      </c>
      <c r="T649" s="18">
        <v>-7.85</v>
      </c>
      <c r="U649" s="18">
        <v>0.81</v>
      </c>
      <c r="V649" s="3" t="s">
        <v>220</v>
      </c>
      <c r="AC649" s="3" t="s">
        <v>102</v>
      </c>
      <c r="AD649" s="5">
        <v>36.568379504875203</v>
      </c>
      <c r="AE649" s="17">
        <v>-115.120732536224</v>
      </c>
      <c r="AH649" s="3">
        <v>2022</v>
      </c>
      <c r="AI649" s="3">
        <v>1</v>
      </c>
      <c r="AJ649" s="8">
        <v>1</v>
      </c>
      <c r="AK649" s="3">
        <v>2022</v>
      </c>
      <c r="AL649" s="3">
        <v>12</v>
      </c>
      <c r="AN649" s="29">
        <v>136</v>
      </c>
      <c r="AW649" s="3">
        <v>22000000</v>
      </c>
      <c r="AX649" s="3">
        <v>22000000</v>
      </c>
      <c r="AY649" s="3">
        <v>100</v>
      </c>
      <c r="AZ649" s="3" t="s">
        <v>89</v>
      </c>
      <c r="BA649" s="3" t="s">
        <v>3274</v>
      </c>
      <c r="BC649" s="3" t="s">
        <v>3275</v>
      </c>
      <c r="BD649" s="8">
        <v>0</v>
      </c>
    </row>
    <row r="650" spans="1:56" ht="14.25" customHeight="1" thickBot="1">
      <c r="A650" s="3" t="s">
        <v>3276</v>
      </c>
      <c r="B650" s="3" t="s">
        <v>3175</v>
      </c>
      <c r="C650" s="3" t="s">
        <v>1876</v>
      </c>
      <c r="E650" s="3" t="s">
        <v>71</v>
      </c>
      <c r="F650" s="3">
        <f t="shared" si="4"/>
        <v>3</v>
      </c>
      <c r="G650" s="3" t="s">
        <v>119</v>
      </c>
      <c r="H650" s="3">
        <f t="shared" si="5"/>
        <v>3</v>
      </c>
      <c r="I650" s="3" t="s">
        <v>122</v>
      </c>
      <c r="L650" s="3" t="s">
        <v>3277</v>
      </c>
      <c r="M650" s="3" t="s">
        <v>97</v>
      </c>
      <c r="N650" s="3" t="s">
        <v>98</v>
      </c>
      <c r="O650" s="3" t="s">
        <v>78</v>
      </c>
      <c r="P650" s="3" t="s">
        <v>79</v>
      </c>
      <c r="Q650" s="3" t="s">
        <v>3278</v>
      </c>
      <c r="R650" s="3" t="s">
        <v>3279</v>
      </c>
      <c r="S650" s="18">
        <v>0</v>
      </c>
      <c r="T650" s="18">
        <v>20.82</v>
      </c>
      <c r="U650" s="18">
        <v>43.45</v>
      </c>
      <c r="V650" s="3" t="s">
        <v>220</v>
      </c>
      <c r="AC650" s="3" t="s">
        <v>102</v>
      </c>
      <c r="AD650" s="6">
        <v>41.686250000000001</v>
      </c>
      <c r="AE650" s="6">
        <v>-122.536012</v>
      </c>
      <c r="AH650" s="3">
        <v>2022</v>
      </c>
      <c r="AI650" s="3">
        <v>7</v>
      </c>
      <c r="AJ650" s="8">
        <v>29</v>
      </c>
      <c r="AK650" s="3">
        <v>2022</v>
      </c>
      <c r="AL650" s="3">
        <v>8</v>
      </c>
      <c r="AM650" s="3">
        <v>1</v>
      </c>
      <c r="AN650" s="29">
        <v>4</v>
      </c>
      <c r="AO650" s="3">
        <v>7</v>
      </c>
      <c r="AP650" s="3">
        <v>33</v>
      </c>
      <c r="AQ650" s="3">
        <v>555</v>
      </c>
      <c r="AR650" s="3">
        <v>595</v>
      </c>
      <c r="AW650" s="3">
        <v>151000</v>
      </c>
      <c r="AX650" s="3">
        <v>151000</v>
      </c>
      <c r="AY650" s="3">
        <v>100</v>
      </c>
      <c r="AZ650" s="3" t="s">
        <v>82</v>
      </c>
      <c r="BB650" s="3" t="s">
        <v>3280</v>
      </c>
      <c r="BC650" s="3" t="s">
        <v>3281</v>
      </c>
      <c r="BD650" s="8">
        <v>3</v>
      </c>
    </row>
    <row r="651" spans="1:56" ht="14.25" customHeight="1" thickBot="1">
      <c r="A651" s="3" t="s">
        <v>3282</v>
      </c>
      <c r="B651" s="3" t="s">
        <v>3175</v>
      </c>
      <c r="C651" s="3" t="s">
        <v>3283</v>
      </c>
      <c r="E651" s="3" t="s">
        <v>71</v>
      </c>
      <c r="F651" s="3">
        <f t="shared" si="4"/>
        <v>2</v>
      </c>
      <c r="G651" s="3" t="s">
        <v>72</v>
      </c>
      <c r="H651" s="3">
        <f t="shared" si="5"/>
        <v>2</v>
      </c>
      <c r="I651" s="3" t="s">
        <v>73</v>
      </c>
      <c r="J651" s="3" t="s">
        <v>74</v>
      </c>
      <c r="K651" s="3" t="s">
        <v>169</v>
      </c>
      <c r="M651" s="3" t="s">
        <v>97</v>
      </c>
      <c r="N651" s="3" t="s">
        <v>98</v>
      </c>
      <c r="O651" s="3" t="s">
        <v>78</v>
      </c>
      <c r="P651" s="3" t="s">
        <v>79</v>
      </c>
      <c r="Q651" s="3" t="s">
        <v>3284</v>
      </c>
      <c r="S651" s="18">
        <v>0</v>
      </c>
      <c r="T651" s="18">
        <v>13.35</v>
      </c>
      <c r="U651" s="18">
        <v>29.34</v>
      </c>
      <c r="V651" s="3" t="s">
        <v>95</v>
      </c>
      <c r="AC651" s="3" t="s">
        <v>81</v>
      </c>
      <c r="AD651" s="6">
        <v>31.26389</v>
      </c>
      <c r="AE651" s="6">
        <v>-98.545612000000006</v>
      </c>
      <c r="AH651" s="3">
        <v>2022</v>
      </c>
      <c r="AI651" s="3">
        <v>11</v>
      </c>
      <c r="AJ651" s="8">
        <v>4</v>
      </c>
      <c r="AK651" s="3">
        <v>2022</v>
      </c>
      <c r="AL651" s="3">
        <v>11</v>
      </c>
      <c r="AM651" s="3">
        <v>5</v>
      </c>
      <c r="AN651" s="29">
        <v>2</v>
      </c>
      <c r="AP651" s="3">
        <v>600</v>
      </c>
      <c r="AR651" s="3">
        <v>600</v>
      </c>
      <c r="AW651" s="3">
        <v>375000</v>
      </c>
      <c r="AX651" s="3">
        <v>375000</v>
      </c>
      <c r="AY651" s="3">
        <v>100</v>
      </c>
      <c r="AZ651" s="3" t="s">
        <v>89</v>
      </c>
      <c r="BA651" s="3" t="s">
        <v>1392</v>
      </c>
      <c r="BC651" s="3" t="s">
        <v>1393</v>
      </c>
      <c r="BD651" s="8">
        <v>3</v>
      </c>
    </row>
    <row r="652" spans="1:56" ht="14.25" customHeight="1" thickBot="1">
      <c r="A652" s="3" t="s">
        <v>3285</v>
      </c>
      <c r="B652" s="3" t="s">
        <v>3175</v>
      </c>
      <c r="C652" s="3" t="s">
        <v>158</v>
      </c>
      <c r="D652" s="3" t="s">
        <v>3286</v>
      </c>
      <c r="E652" s="3" t="s">
        <v>71</v>
      </c>
      <c r="F652" s="3">
        <f t="shared" si="4"/>
        <v>2</v>
      </c>
      <c r="G652" s="3" t="s">
        <v>72</v>
      </c>
      <c r="H652" s="3">
        <f t="shared" si="5"/>
        <v>2</v>
      </c>
      <c r="I652" s="3" t="s">
        <v>73</v>
      </c>
      <c r="J652" s="3" t="s">
        <v>212</v>
      </c>
      <c r="L652" s="3" t="s">
        <v>3287</v>
      </c>
      <c r="M652" s="3" t="s">
        <v>97</v>
      </c>
      <c r="N652" s="3" t="s">
        <v>98</v>
      </c>
      <c r="O652" s="3" t="s">
        <v>78</v>
      </c>
      <c r="P652" s="3" t="s">
        <v>79</v>
      </c>
      <c r="Q652" s="3" t="s">
        <v>3288</v>
      </c>
      <c r="S652" s="18">
        <v>0</v>
      </c>
      <c r="T652" s="18">
        <v>7.79</v>
      </c>
      <c r="U652" s="18">
        <v>20</v>
      </c>
      <c r="V652" s="3" t="s">
        <v>95</v>
      </c>
      <c r="Z652" s="3" t="s">
        <v>264</v>
      </c>
      <c r="AB652" s="3">
        <v>240</v>
      </c>
      <c r="AC652" s="3" t="s">
        <v>81</v>
      </c>
      <c r="AD652" s="5">
        <v>35.181595986843597</v>
      </c>
      <c r="AE652" s="17">
        <v>-80.840179681775197</v>
      </c>
      <c r="AH652" s="3">
        <v>2022</v>
      </c>
      <c r="AI652" s="3">
        <v>9</v>
      </c>
      <c r="AJ652" s="8">
        <v>28</v>
      </c>
      <c r="AK652" s="3">
        <v>2022</v>
      </c>
      <c r="AL652" s="3">
        <v>10</v>
      </c>
      <c r="AM652" s="3">
        <v>2</v>
      </c>
      <c r="AN652" s="29">
        <v>152</v>
      </c>
      <c r="AU652" s="3">
        <v>60000000</v>
      </c>
      <c r="AV652" s="3">
        <v>60000000</v>
      </c>
      <c r="AW652" s="3">
        <v>100000000</v>
      </c>
      <c r="AX652" s="3">
        <v>100000000</v>
      </c>
      <c r="AY652" s="3">
        <v>100</v>
      </c>
      <c r="AZ652" s="3" t="s">
        <v>206</v>
      </c>
      <c r="BA652" s="3" t="s">
        <v>3289</v>
      </c>
      <c r="BB652" s="3" t="s">
        <v>3290</v>
      </c>
      <c r="BC652" s="3" t="s">
        <v>3291</v>
      </c>
      <c r="BD652" s="8">
        <v>0</v>
      </c>
    </row>
    <row r="653" spans="1:56" ht="14.25" customHeight="1" thickBot="1">
      <c r="A653" s="3" t="s">
        <v>3292</v>
      </c>
      <c r="B653" s="3" t="s">
        <v>3175</v>
      </c>
      <c r="C653" s="3" t="s">
        <v>3209</v>
      </c>
      <c r="E653" s="3" t="s">
        <v>71</v>
      </c>
      <c r="F653" s="3">
        <f t="shared" si="4"/>
        <v>2</v>
      </c>
      <c r="G653" s="3" t="s">
        <v>72</v>
      </c>
      <c r="H653" s="3">
        <f t="shared" si="5"/>
        <v>2</v>
      </c>
      <c r="I653" s="3" t="s">
        <v>73</v>
      </c>
      <c r="J653" s="3" t="s">
        <v>74</v>
      </c>
      <c r="K653" s="3" t="s">
        <v>2931</v>
      </c>
      <c r="M653" s="3" t="s">
        <v>97</v>
      </c>
      <c r="N653" s="3" t="s">
        <v>98</v>
      </c>
      <c r="O653" s="3" t="s">
        <v>78</v>
      </c>
      <c r="P653" s="3" t="s">
        <v>79</v>
      </c>
      <c r="Q653" s="3" t="s">
        <v>3293</v>
      </c>
      <c r="S653" s="18">
        <v>3.52</v>
      </c>
      <c r="T653" s="18">
        <v>8.06</v>
      </c>
      <c r="U653" s="18">
        <v>18.170000000000002</v>
      </c>
      <c r="AC653" s="3" t="s">
        <v>81</v>
      </c>
      <c r="AD653" s="6">
        <v>45.989660000000001</v>
      </c>
      <c r="AE653" s="6">
        <v>-94.611328999999998</v>
      </c>
      <c r="AH653" s="3">
        <v>2022</v>
      </c>
      <c r="AI653" s="3">
        <v>5</v>
      </c>
      <c r="AJ653" s="8">
        <v>19</v>
      </c>
      <c r="AK653" s="3">
        <v>2022</v>
      </c>
      <c r="AL653" s="3">
        <v>5</v>
      </c>
      <c r="AM653" s="3">
        <v>26</v>
      </c>
      <c r="AN653" s="29">
        <v>2</v>
      </c>
      <c r="AO653" s="3">
        <v>12</v>
      </c>
      <c r="AR653" s="3">
        <v>12</v>
      </c>
      <c r="AW653" s="3">
        <v>2500000</v>
      </c>
      <c r="AX653" s="3">
        <v>2500000</v>
      </c>
      <c r="AY653" s="3">
        <v>100</v>
      </c>
      <c r="AZ653" s="3" t="s">
        <v>89</v>
      </c>
      <c r="BA653" s="3" t="s">
        <v>3294</v>
      </c>
      <c r="BC653" s="3" t="s">
        <v>3295</v>
      </c>
      <c r="BD653" s="8">
        <v>2</v>
      </c>
    </row>
    <row r="654" spans="1:56" ht="14.25" customHeight="1" thickBot="1">
      <c r="A654" s="3" t="s">
        <v>3296</v>
      </c>
      <c r="B654" s="3" t="s">
        <v>3175</v>
      </c>
      <c r="C654" s="3" t="s">
        <v>3144</v>
      </c>
      <c r="E654" s="3" t="s">
        <v>71</v>
      </c>
      <c r="F654" s="3">
        <f t="shared" si="4"/>
        <v>2</v>
      </c>
      <c r="G654" s="3" t="s">
        <v>72</v>
      </c>
      <c r="H654" s="3">
        <f t="shared" si="5"/>
        <v>2</v>
      </c>
      <c r="I654" s="3" t="s">
        <v>73</v>
      </c>
      <c r="J654" s="3" t="s">
        <v>74</v>
      </c>
      <c r="K654" s="3" t="s">
        <v>75</v>
      </c>
      <c r="M654" s="3" t="s">
        <v>97</v>
      </c>
      <c r="N654" s="3" t="s">
        <v>98</v>
      </c>
      <c r="O654" s="3" t="s">
        <v>78</v>
      </c>
      <c r="P654" s="3" t="s">
        <v>79</v>
      </c>
      <c r="Q654" s="3" t="s">
        <v>3297</v>
      </c>
      <c r="S654" s="18">
        <v>38.380000000000003</v>
      </c>
      <c r="T654" s="18">
        <v>14.37</v>
      </c>
      <c r="U654" s="18">
        <v>26.44</v>
      </c>
      <c r="AC654" s="3" t="s">
        <v>81</v>
      </c>
      <c r="AD654" s="6">
        <v>32.735709999999997</v>
      </c>
      <c r="AE654" s="6">
        <v>-97.229883999999998</v>
      </c>
      <c r="AH654" s="3">
        <v>2022</v>
      </c>
      <c r="AI654" s="3">
        <v>4</v>
      </c>
      <c r="AJ654" s="8">
        <v>4</v>
      </c>
      <c r="AK654" s="3">
        <v>2022</v>
      </c>
      <c r="AL654" s="3">
        <v>4</v>
      </c>
      <c r="AM654" s="3">
        <v>7</v>
      </c>
      <c r="AN654" s="29">
        <v>3</v>
      </c>
      <c r="AU654" s="3">
        <v>2500000</v>
      </c>
      <c r="AV654" s="3">
        <v>2500000</v>
      </c>
      <c r="AW654" s="3">
        <v>3200000</v>
      </c>
      <c r="AX654" s="3">
        <v>3200000</v>
      </c>
      <c r="AY654" s="3">
        <v>100</v>
      </c>
      <c r="AZ654" s="3" t="s">
        <v>206</v>
      </c>
      <c r="BA654" s="3" t="s">
        <v>456</v>
      </c>
      <c r="BB654" s="3" t="s">
        <v>3298</v>
      </c>
      <c r="BC654" s="3" t="s">
        <v>3299</v>
      </c>
      <c r="BD654" s="8">
        <v>0</v>
      </c>
    </row>
    <row r="655" spans="1:56" ht="14.25" customHeight="1" thickBot="1">
      <c r="A655" s="3" t="s">
        <v>3300</v>
      </c>
      <c r="B655" s="3" t="s">
        <v>3175</v>
      </c>
      <c r="C655" s="3" t="s">
        <v>3301</v>
      </c>
      <c r="E655" s="3" t="s">
        <v>71</v>
      </c>
      <c r="F655" s="3">
        <f t="shared" si="4"/>
        <v>5</v>
      </c>
      <c r="G655" s="3" t="s">
        <v>175</v>
      </c>
      <c r="H655" s="3">
        <f t="shared" si="5"/>
        <v>6</v>
      </c>
      <c r="I655" s="3" t="s">
        <v>176</v>
      </c>
      <c r="J655" s="3" t="s">
        <v>177</v>
      </c>
      <c r="M655" s="3" t="s">
        <v>97</v>
      </c>
      <c r="N655" s="3" t="s">
        <v>98</v>
      </c>
      <c r="O655" s="3" t="s">
        <v>78</v>
      </c>
      <c r="P655" s="3" t="s">
        <v>79</v>
      </c>
      <c r="Q655" s="3" t="s">
        <v>3302</v>
      </c>
      <c r="S655" s="18">
        <v>0</v>
      </c>
      <c r="T655" s="18">
        <v>0.57999999999999996</v>
      </c>
      <c r="U655" s="18">
        <v>8.92</v>
      </c>
      <c r="Z655" s="3" t="s">
        <v>264</v>
      </c>
      <c r="AB655" s="3">
        <v>6</v>
      </c>
      <c r="AC655" s="3" t="s">
        <v>179</v>
      </c>
      <c r="AD655" s="6">
        <v>36.701459999999997</v>
      </c>
      <c r="AE655" s="6">
        <v>-118.75599699999999</v>
      </c>
      <c r="AF655" s="3" t="s">
        <v>3303</v>
      </c>
      <c r="AH655" s="3">
        <v>2022</v>
      </c>
      <c r="AI655" s="3">
        <v>12</v>
      </c>
      <c r="AJ655" s="8">
        <v>20</v>
      </c>
      <c r="AK655" s="3">
        <v>2022</v>
      </c>
      <c r="AL655" s="3">
        <v>12</v>
      </c>
      <c r="AM655" s="3">
        <v>20</v>
      </c>
      <c r="AN655" s="29">
        <v>2</v>
      </c>
      <c r="AO655" s="3">
        <v>12</v>
      </c>
      <c r="AR655" s="3">
        <v>12</v>
      </c>
      <c r="AW655" s="3">
        <v>250000</v>
      </c>
      <c r="AX655" s="3">
        <v>250000</v>
      </c>
      <c r="AY655" s="3">
        <v>100</v>
      </c>
      <c r="AZ655" s="3" t="s">
        <v>82</v>
      </c>
      <c r="BB655" s="3" t="s">
        <v>1616</v>
      </c>
      <c r="BC655" s="3" t="s">
        <v>1617</v>
      </c>
      <c r="BD655" s="8">
        <v>2</v>
      </c>
    </row>
    <row r="656" spans="1:56" ht="14.25" customHeight="1" thickBot="1">
      <c r="A656" s="3" t="s">
        <v>3304</v>
      </c>
      <c r="B656" s="3" t="s">
        <v>3175</v>
      </c>
      <c r="C656" s="3" t="s">
        <v>3305</v>
      </c>
      <c r="E656" s="3" t="s">
        <v>71</v>
      </c>
      <c r="F656" s="3">
        <f t="shared" si="4"/>
        <v>2</v>
      </c>
      <c r="G656" s="3" t="s">
        <v>72</v>
      </c>
      <c r="H656" s="3">
        <f t="shared" si="5"/>
        <v>2</v>
      </c>
      <c r="I656" s="3" t="s">
        <v>73</v>
      </c>
      <c r="J656" s="3" t="s">
        <v>74</v>
      </c>
      <c r="M656" s="3" t="s">
        <v>97</v>
      </c>
      <c r="N656" s="3" t="s">
        <v>98</v>
      </c>
      <c r="O656" s="3" t="s">
        <v>78</v>
      </c>
      <c r="P656" s="3" t="s">
        <v>79</v>
      </c>
      <c r="Q656" s="3" t="s">
        <v>3306</v>
      </c>
      <c r="S656" s="18">
        <v>0</v>
      </c>
      <c r="T656" s="18">
        <v>14.52</v>
      </c>
      <c r="U656" s="18">
        <v>21.9</v>
      </c>
      <c r="AC656" s="3" t="s">
        <v>81</v>
      </c>
      <c r="AD656" s="6">
        <v>30.87039</v>
      </c>
      <c r="AE656" s="6">
        <v>-92.007126</v>
      </c>
      <c r="AH656" s="3">
        <v>2022</v>
      </c>
      <c r="AI656" s="3">
        <v>12</v>
      </c>
      <c r="AJ656" s="8">
        <v>12</v>
      </c>
      <c r="AK656" s="3">
        <v>2022</v>
      </c>
      <c r="AL656" s="3">
        <v>12</v>
      </c>
      <c r="AM656" s="3">
        <v>15</v>
      </c>
      <c r="AN656" s="29">
        <v>3</v>
      </c>
      <c r="AO656" s="3">
        <v>37</v>
      </c>
      <c r="AR656" s="3">
        <v>37</v>
      </c>
      <c r="AW656" s="3">
        <v>345000</v>
      </c>
      <c r="AX656" s="3">
        <v>345000</v>
      </c>
      <c r="AY656" s="3">
        <v>100</v>
      </c>
      <c r="AZ656" s="3" t="s">
        <v>89</v>
      </c>
      <c r="BA656" s="3" t="s">
        <v>3307</v>
      </c>
      <c r="BC656" s="3" t="s">
        <v>3308</v>
      </c>
      <c r="BD656" s="8">
        <v>2</v>
      </c>
    </row>
    <row r="657" spans="1:56" ht="14.25" customHeight="1" thickBot="1">
      <c r="A657" s="3" t="s">
        <v>3309</v>
      </c>
      <c r="B657" s="3" t="s">
        <v>3175</v>
      </c>
      <c r="C657" s="3" t="s">
        <v>3310</v>
      </c>
      <c r="E657" s="3" t="s">
        <v>71</v>
      </c>
      <c r="F657" s="3">
        <f t="shared" si="4"/>
        <v>2</v>
      </c>
      <c r="G657" s="3" t="s">
        <v>72</v>
      </c>
      <c r="H657" s="3">
        <f t="shared" si="5"/>
        <v>2</v>
      </c>
      <c r="I657" s="3" t="s">
        <v>73</v>
      </c>
      <c r="J657" s="3" t="s">
        <v>212</v>
      </c>
      <c r="L657" s="3" t="s">
        <v>3311</v>
      </c>
      <c r="M657" s="3" t="s">
        <v>97</v>
      </c>
      <c r="N657" s="3" t="s">
        <v>98</v>
      </c>
      <c r="O657" s="3" t="s">
        <v>78</v>
      </c>
      <c r="P657" s="3" t="s">
        <v>79</v>
      </c>
      <c r="Q657" s="3" t="s">
        <v>3312</v>
      </c>
      <c r="S657" s="18">
        <v>0</v>
      </c>
      <c r="T657" s="18">
        <v>6.74</v>
      </c>
      <c r="U657" s="18">
        <v>19.13</v>
      </c>
      <c r="Z657" s="3" t="s">
        <v>264</v>
      </c>
      <c r="AB657" s="3">
        <v>120</v>
      </c>
      <c r="AC657" s="3" t="s">
        <v>81</v>
      </c>
      <c r="AD657" s="6">
        <v>33.643689999999999</v>
      </c>
      <c r="AE657" s="6">
        <v>-117.640288</v>
      </c>
      <c r="AH657" s="3">
        <v>2022</v>
      </c>
      <c r="AI657" s="3">
        <v>11</v>
      </c>
      <c r="AJ657" s="8">
        <v>10</v>
      </c>
      <c r="AK657" s="3">
        <v>2022</v>
      </c>
      <c r="AL657" s="3">
        <v>11</v>
      </c>
      <c r="AM657" s="3">
        <v>11</v>
      </c>
      <c r="AN657" s="29">
        <v>5</v>
      </c>
      <c r="AP657" s="3">
        <v>1500</v>
      </c>
      <c r="AR657" s="3">
        <v>1500</v>
      </c>
      <c r="AW657" s="3">
        <v>1000000</v>
      </c>
      <c r="AX657" s="3">
        <v>1000000</v>
      </c>
      <c r="AY657" s="3">
        <v>100</v>
      </c>
      <c r="BD657" s="8">
        <v>4</v>
      </c>
    </row>
    <row r="658" spans="1:56" ht="14.25" customHeight="1" thickBot="1">
      <c r="A658" s="3" t="s">
        <v>3313</v>
      </c>
      <c r="B658" s="3" t="s">
        <v>3175</v>
      </c>
      <c r="C658" s="3" t="s">
        <v>3314</v>
      </c>
      <c r="E658" s="3" t="s">
        <v>71</v>
      </c>
      <c r="F658" s="3">
        <f t="shared" si="4"/>
        <v>3</v>
      </c>
      <c r="G658" s="3" t="s">
        <v>119</v>
      </c>
      <c r="H658" s="3">
        <f t="shared" si="5"/>
        <v>3</v>
      </c>
      <c r="I658" s="3" t="s">
        <v>122</v>
      </c>
      <c r="L658" s="3" t="s">
        <v>3315</v>
      </c>
      <c r="M658" s="3" t="s">
        <v>97</v>
      </c>
      <c r="N658" s="3" t="s">
        <v>98</v>
      </c>
      <c r="O658" s="3" t="s">
        <v>78</v>
      </c>
      <c r="P658" s="3" t="s">
        <v>79</v>
      </c>
      <c r="Q658" s="3" t="s">
        <v>3316</v>
      </c>
      <c r="R658" s="3" t="s">
        <v>3317</v>
      </c>
      <c r="S658" s="18">
        <v>10.220000000000001</v>
      </c>
      <c r="T658" s="18">
        <v>4.9800000000000004</v>
      </c>
      <c r="U658" s="16">
        <v>32.770000000000003</v>
      </c>
      <c r="AC658" s="3" t="s">
        <v>102</v>
      </c>
      <c r="AD658" s="6">
        <v>40.808889999999998</v>
      </c>
      <c r="AE658" s="6">
        <v>-96.707774999999998</v>
      </c>
      <c r="AH658" s="3">
        <v>2022</v>
      </c>
      <c r="AI658" s="3">
        <v>4</v>
      </c>
      <c r="AJ658" s="8">
        <v>12</v>
      </c>
      <c r="AK658" s="3">
        <v>2022</v>
      </c>
      <c r="AL658" s="3">
        <v>5</v>
      </c>
      <c r="AN658" s="29">
        <v>2</v>
      </c>
      <c r="AO658" s="3">
        <v>49</v>
      </c>
      <c r="AP658" s="3">
        <v>600</v>
      </c>
      <c r="AR658" s="3">
        <v>649</v>
      </c>
      <c r="AW658" s="3">
        <v>155000</v>
      </c>
      <c r="AX658" s="3">
        <v>155000</v>
      </c>
      <c r="AY658" s="3">
        <v>100</v>
      </c>
      <c r="AZ658" s="3" t="s">
        <v>82</v>
      </c>
      <c r="BB658" s="3" t="s">
        <v>3318</v>
      </c>
      <c r="BC658" s="3" t="s">
        <v>3319</v>
      </c>
      <c r="BD658" s="8">
        <v>3</v>
      </c>
    </row>
    <row r="659" spans="1:56" ht="14.25" customHeight="1" thickBot="1">
      <c r="A659" s="3" t="s">
        <v>3320</v>
      </c>
      <c r="B659" s="3" t="s">
        <v>3175</v>
      </c>
      <c r="C659" s="3" t="s">
        <v>3321</v>
      </c>
      <c r="E659" s="3" t="s">
        <v>71</v>
      </c>
      <c r="F659" s="3">
        <f t="shared" si="4"/>
        <v>3</v>
      </c>
      <c r="G659" s="3" t="s">
        <v>119</v>
      </c>
      <c r="H659" s="3">
        <f t="shared" si="5"/>
        <v>3</v>
      </c>
      <c r="I659" s="3" t="s">
        <v>122</v>
      </c>
      <c r="L659" s="3" t="s">
        <v>3322</v>
      </c>
      <c r="M659" s="3" t="s">
        <v>97</v>
      </c>
      <c r="N659" s="3" t="s">
        <v>98</v>
      </c>
      <c r="O659" s="3" t="s">
        <v>78</v>
      </c>
      <c r="P659" s="3" t="s">
        <v>79</v>
      </c>
      <c r="Q659" s="3" t="s">
        <v>3323</v>
      </c>
      <c r="R659" s="3" t="s">
        <v>3324</v>
      </c>
      <c r="S659" s="18">
        <v>0</v>
      </c>
      <c r="T659" s="18">
        <v>-6.02</v>
      </c>
      <c r="U659" s="18">
        <v>13.87</v>
      </c>
      <c r="Z659" s="3" t="s">
        <v>264</v>
      </c>
      <c r="AC659" s="3" t="s">
        <v>102</v>
      </c>
      <c r="AD659" s="6">
        <v>35.972230000000003</v>
      </c>
      <c r="AE659" s="6">
        <v>-104.913222</v>
      </c>
      <c r="AH659" s="3">
        <v>2022</v>
      </c>
      <c r="AI659" s="3">
        <v>4</v>
      </c>
      <c r="AJ659" s="8">
        <v>6</v>
      </c>
      <c r="AK659" s="3">
        <v>2022</v>
      </c>
      <c r="AL659" s="3">
        <v>6</v>
      </c>
      <c r="AM659" s="3">
        <v>14</v>
      </c>
      <c r="AN659" s="29">
        <v>0</v>
      </c>
      <c r="AO659" s="3">
        <v>138</v>
      </c>
      <c r="AP659" s="3">
        <v>756</v>
      </c>
      <c r="AR659" s="3">
        <v>894</v>
      </c>
      <c r="AY659" s="3">
        <v>100</v>
      </c>
      <c r="AZ659" s="3" t="s">
        <v>206</v>
      </c>
      <c r="BA659" s="3" t="s">
        <v>3325</v>
      </c>
      <c r="BB659" s="3" t="s">
        <v>3326</v>
      </c>
      <c r="BC659" s="3" t="s">
        <v>3327</v>
      </c>
      <c r="BD659" s="8">
        <v>3</v>
      </c>
    </row>
    <row r="660" spans="1:56" ht="14.25" customHeight="1" thickBot="1">
      <c r="A660" s="3" t="s">
        <v>3328</v>
      </c>
      <c r="B660" s="3" t="s">
        <v>3175</v>
      </c>
      <c r="C660" s="3" t="s">
        <v>341</v>
      </c>
      <c r="E660" s="3" t="s">
        <v>71</v>
      </c>
      <c r="F660" s="3">
        <f t="shared" si="4"/>
        <v>1</v>
      </c>
      <c r="G660" s="3" t="s">
        <v>94</v>
      </c>
      <c r="H660" s="3">
        <f t="shared" si="5"/>
        <v>1</v>
      </c>
      <c r="I660" s="3" t="s">
        <v>95</v>
      </c>
      <c r="M660" s="3" t="s">
        <v>97</v>
      </c>
      <c r="N660" s="3" t="s">
        <v>98</v>
      </c>
      <c r="O660" s="3" t="s">
        <v>78</v>
      </c>
      <c r="P660" s="3" t="s">
        <v>79</v>
      </c>
      <c r="Q660" s="3" t="s">
        <v>3329</v>
      </c>
      <c r="R660" s="3" t="s">
        <v>200</v>
      </c>
      <c r="S660" s="18">
        <v>0</v>
      </c>
      <c r="T660" s="18">
        <v>-5.1100000000000003</v>
      </c>
      <c r="U660" s="18">
        <v>11.77</v>
      </c>
      <c r="Z660" s="3" t="s">
        <v>264</v>
      </c>
      <c r="AC660" s="3" t="s">
        <v>102</v>
      </c>
      <c r="AD660" s="5">
        <v>46.929072383827197</v>
      </c>
      <c r="AE660" s="17">
        <v>-98.432020534938403</v>
      </c>
      <c r="AH660" s="3">
        <v>2022</v>
      </c>
      <c r="AI660" s="3">
        <v>4</v>
      </c>
      <c r="AJ660" s="8">
        <v>1</v>
      </c>
      <c r="AK660" s="3">
        <v>2022</v>
      </c>
      <c r="AL660" s="3">
        <v>5</v>
      </c>
      <c r="AM660" s="3">
        <v>5</v>
      </c>
      <c r="AN660" s="29">
        <v>0</v>
      </c>
      <c r="AY660" s="3">
        <v>100</v>
      </c>
      <c r="AZ660" s="3" t="s">
        <v>89</v>
      </c>
      <c r="BA660" s="3" t="s">
        <v>1460</v>
      </c>
      <c r="BC660" s="3" t="s">
        <v>1461</v>
      </c>
      <c r="BD660" s="8">
        <v>0</v>
      </c>
    </row>
    <row r="661" spans="1:56" ht="14.25" customHeight="1" thickBot="1">
      <c r="A661" s="3" t="s">
        <v>3330</v>
      </c>
      <c r="B661" s="3" t="s">
        <v>3175</v>
      </c>
      <c r="C661" s="3" t="s">
        <v>3331</v>
      </c>
      <c r="E661" s="3" t="s">
        <v>71</v>
      </c>
      <c r="F661" s="3">
        <f t="shared" si="4"/>
        <v>1</v>
      </c>
      <c r="G661" s="3" t="s">
        <v>94</v>
      </c>
      <c r="H661" s="3">
        <f t="shared" si="5"/>
        <v>1</v>
      </c>
      <c r="I661" s="3" t="s">
        <v>95</v>
      </c>
      <c r="M661" s="3" t="s">
        <v>97</v>
      </c>
      <c r="N661" s="3" t="s">
        <v>98</v>
      </c>
      <c r="O661" s="3" t="s">
        <v>78</v>
      </c>
      <c r="P661" s="3" t="s">
        <v>79</v>
      </c>
      <c r="Q661" s="3" t="s">
        <v>3332</v>
      </c>
      <c r="R661" s="3" t="s">
        <v>200</v>
      </c>
      <c r="S661" s="24">
        <v>24.76</v>
      </c>
      <c r="T661" s="24">
        <v>21.73</v>
      </c>
      <c r="U661" s="24">
        <v>27.08</v>
      </c>
      <c r="Z661" s="3" t="s">
        <v>264</v>
      </c>
      <c r="AC661" s="3" t="s">
        <v>102</v>
      </c>
      <c r="AD661" s="6">
        <v>37.572600000000001</v>
      </c>
      <c r="AE661" s="6">
        <v>-85.155141</v>
      </c>
      <c r="AH661" s="3">
        <v>2022</v>
      </c>
      <c r="AI661" s="3">
        <v>7</v>
      </c>
      <c r="AJ661" s="8">
        <v>26</v>
      </c>
      <c r="AK661" s="3">
        <v>2022</v>
      </c>
      <c r="AL661" s="3">
        <v>7</v>
      </c>
      <c r="AM661" s="3">
        <v>31</v>
      </c>
      <c r="AN661" s="29">
        <v>42</v>
      </c>
      <c r="AP661" s="3">
        <v>475</v>
      </c>
      <c r="AR661" s="3">
        <v>475</v>
      </c>
      <c r="AW661" s="3">
        <v>1500000</v>
      </c>
      <c r="AX661" s="3">
        <v>1500000</v>
      </c>
      <c r="AY661" s="3">
        <v>100</v>
      </c>
      <c r="AZ661" s="3" t="s">
        <v>89</v>
      </c>
      <c r="BA661" s="3" t="s">
        <v>3333</v>
      </c>
      <c r="BC661" s="3" t="s">
        <v>3334</v>
      </c>
      <c r="BD661" s="8">
        <v>3</v>
      </c>
    </row>
  </sheetData>
  <customSheetViews>
    <customSheetView guid="{209855CD-129C-4B83-978F-C49C3C2EEE53}" filter="1" showAutoFilter="1">
      <pageMargins left="0.7" right="0.7" top="0.75" bottom="0.75" header="0.3" footer="0.3"/>
      <autoFilter ref="A1:BC661" xr:uid="{7F5F83B2-D0A3-42DD-8823-0D5B20F40BAA}"/>
      <extLst>
        <ext uri="GoogleSheetsCustomDataVersion1">
          <go:sheetsCustomData xmlns:go="http://customooxmlschemas.google.com/" filterViewId="1624596381"/>
        </ext>
      </extLst>
    </customSheetView>
  </customSheetViews>
  <mergeCells count="6">
    <mergeCell ref="B6:E6"/>
    <mergeCell ref="B1:E1"/>
    <mergeCell ref="B2:E2"/>
    <mergeCell ref="B3:E3"/>
    <mergeCell ref="B4:E4"/>
    <mergeCell ref="B5:E5"/>
  </mergeCells>
  <conditionalFormatting sqref="AD1:AE661">
    <cfRule type="containsBlanks" dxfId="0" priority="1">
      <formula>LEN(TRIM(AD1))=0</formula>
    </cfRule>
  </conditionalFormatting>
  <pageMargins left="0.78749999999999998" right="0.78749999999999998" top="1.05277777777778" bottom="1.05277777777778" header="0" footer="0"/>
  <pageSetup scale="0"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25" defaultRowHeight="15" customHeight="1"/>
  <sheetData>
    <row r="1" spans="1:1">
      <c r="A1" s="3" t="s">
        <v>3335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Sheila Afros</dc:creator>
  <cp:lastModifiedBy>Sheila Afros</cp:lastModifiedBy>
  <dcterms:created xsi:type="dcterms:W3CDTF">2023-03-31T01:58:17Z</dcterms:created>
  <dcterms:modified xsi:type="dcterms:W3CDTF">2023-04-01T23:32:13Z</dcterms:modified>
</cp:coreProperties>
</file>